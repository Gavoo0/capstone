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b680ed20cb65f7b/Documentos/Capstone/Fase2/"/>
    </mc:Choice>
  </mc:AlternateContent>
  <xr:revisionPtr revIDLastSave="9" documentId="11_FD2D125F0F298C484979F46DFE8721A067FE5B19" xr6:coauthVersionLast="47" xr6:coauthVersionMax="47" xr10:uidLastSave="{7098DFF7-601E-45E3-98F1-1301EBCEA953}"/>
  <bookViews>
    <workbookView xWindow="-120" yWindow="-120" windowWidth="29040" windowHeight="16440" xr2:uid="{00000000-000D-0000-FFFF-FFFF00000000}"/>
  </bookViews>
  <sheets>
    <sheet name="Burndown" sheetId="1" r:id="rId1"/>
    <sheet name="Tareas ba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1" l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H5" i="1"/>
  <c r="E5" i="1"/>
  <c r="B5" i="1"/>
  <c r="K25" i="1" l="1"/>
  <c r="K23" i="1"/>
  <c r="K22" i="1"/>
  <c r="K21" i="1"/>
  <c r="K20" i="1"/>
  <c r="K13" i="1"/>
  <c r="K19" i="1"/>
  <c r="K18" i="1"/>
  <c r="K17" i="1"/>
  <c r="K12" i="1"/>
  <c r="K24" i="1"/>
  <c r="K15" i="1"/>
  <c r="K14" i="1"/>
  <c r="K16" i="1"/>
</calcChain>
</file>

<file path=xl/sharedStrings.xml><?xml version="1.0" encoding="utf-8"?>
<sst xmlns="http://schemas.openxmlformats.org/spreadsheetml/2006/main" count="122" uniqueCount="102">
  <si>
    <t>Burndown Chart · Sprint 2</t>
  </si>
  <si>
    <t>Total de tareas</t>
  </si>
  <si>
    <t>Días registrados</t>
  </si>
  <si>
    <t>Último día</t>
  </si>
  <si>
    <t>Registro diario al cierre de cada día</t>
  </si>
  <si>
    <t>Fecha 2026</t>
  </si>
  <si>
    <t>Día</t>
  </si>
  <si>
    <t>Ideal pendiente</t>
  </si>
  <si>
    <t>Real pendiente</t>
  </si>
  <si>
    <t>Terminadas acum.</t>
  </si>
  <si>
    <t>Diferencia</t>
  </si>
  <si>
    <t>Evidencia / notas</t>
  </si>
  <si>
    <t>06/10</t>
  </si>
  <si>
    <t>07/10</t>
  </si>
  <si>
    <t>08/10</t>
  </si>
  <si>
    <t>09/10</t>
  </si>
  <si>
    <t>10/10</t>
  </si>
  <si>
    <t>11/10</t>
  </si>
  <si>
    <t>12/10</t>
  </si>
  <si>
    <t>13/10</t>
  </si>
  <si>
    <t>14/10</t>
  </si>
  <si>
    <t>15/10</t>
  </si>
  <si>
    <t>16/10</t>
  </si>
  <si>
    <t>17/10</t>
  </si>
  <si>
    <t>18/10</t>
  </si>
  <si>
    <t>19/10</t>
  </si>
  <si>
    <t>Tareas candidatas del Sprint 2</t>
  </si>
  <si>
    <t>ID</t>
  </si>
  <si>
    <t>Historia</t>
  </si>
  <si>
    <t>Actividad candidata</t>
  </si>
  <si>
    <t>Área sugerida</t>
  </si>
  <si>
    <t>Criterio de cierre propuesto</t>
  </si>
  <si>
    <t>SB2-01</t>
  </si>
  <si>
    <t>US-01</t>
  </si>
  <si>
    <t>Conectar la pantalla administrativa de vehículos con la API</t>
  </si>
  <si>
    <t>Frontend</t>
  </si>
  <si>
    <t>Crear, editar y desactivar vehículos por sede</t>
  </si>
  <si>
    <t>SB2-02</t>
  </si>
  <si>
    <t>Validar asignación de recursos a Macul o Peñalolén</t>
  </si>
  <si>
    <t>Backend / QA</t>
  </si>
  <si>
    <t>Datos por sede consistentes y sin duplicidades</t>
  </si>
  <si>
    <t>SB2-03</t>
  </si>
  <si>
    <t>Integrar gestión de instructores con el módulo de flota</t>
  </si>
  <si>
    <t>Full stack</t>
  </si>
  <si>
    <t>Recursos humanos disponibles para planificación</t>
  </si>
  <si>
    <t>SB2-04</t>
  </si>
  <si>
    <t>US-02</t>
  </si>
  <si>
    <t>Implementar formulario administrativo de bloqueos</t>
  </si>
  <si>
    <t>Seleccionar fecha, horario, vehículo e instructor</t>
  </si>
  <si>
    <t>SB2-05</t>
  </si>
  <si>
    <t>Aplicar bloqueos en disponibilidad y agendamiento</t>
  </si>
  <si>
    <t>Backend</t>
  </si>
  <si>
    <t>No permitir reservas en recursos bloqueados</t>
  </si>
  <si>
    <t>SB2-06</t>
  </si>
  <si>
    <t>Verificar un bloqueo y sus efectos en la agenda</t>
  </si>
  <si>
    <t>QA</t>
  </si>
  <si>
    <t>Evidencia de recurso bloqueado y reducción de disponibilidad</t>
  </si>
  <si>
    <t>SB2-07</t>
  </si>
  <si>
    <t>US-03</t>
  </si>
  <si>
    <t>Conectar inicio de sesión con /api/usuarios/login</t>
  </si>
  <si>
    <t>Credenciales válidas e inválidas tratadas correctamente</t>
  </si>
  <si>
    <t>SB2-08</t>
  </si>
  <si>
    <t>Proteger rutas según rol y revisar seguridad de acceso</t>
  </si>
  <si>
    <t>Acceso privado y restricciones por usuario</t>
  </si>
  <si>
    <t>SB2-09</t>
  </si>
  <si>
    <t>Mostrar la Tarjeta Web y progreso del alumno</t>
  </si>
  <si>
    <t>Alumno visualiza solo su propio avance</t>
  </si>
  <si>
    <t>SB2-10</t>
  </si>
  <si>
    <t>US-04</t>
  </si>
  <si>
    <t>Construir agenda diaria del instructor</t>
  </si>
  <si>
    <t>Mostrar clases del día con estudiante y vehículo</t>
  </si>
  <si>
    <t>SB2-11</t>
  </si>
  <si>
    <t>Consultar clases desde backend por instructor</t>
  </si>
  <si>
    <t>Agenda refleja datos reales y estados vacíos</t>
  </si>
  <si>
    <t>SB2-12</t>
  </si>
  <si>
    <t>US-06</t>
  </si>
  <si>
    <t>Mostrar disponibilidad de vehículos por bloque</t>
  </si>
  <si>
    <t>Disponibilidad actualizada según sede y horario</t>
  </si>
  <si>
    <t>SB2-13</t>
  </si>
  <si>
    <t>Mostrar advertencias de bloqueos o conflictos</t>
  </si>
  <si>
    <t>Frontend / QA</t>
  </si>
  <si>
    <t>Bloques no disponibles señalizados sin ambigüedad</t>
  </si>
  <si>
    <t>SB2-14</t>
  </si>
  <si>
    <t>US-10</t>
  </si>
  <si>
    <t>Revisar catálogo, requisitos y datos de sucursales</t>
  </si>
  <si>
    <t>Información visible según criterios de la HU</t>
  </si>
  <si>
    <t>SB2-15</t>
  </si>
  <si>
    <t>Soporte</t>
  </si>
  <si>
    <t>Alinear esquema SQL y configuración de base de datos</t>
  </si>
  <si>
    <t>Backend / Infra</t>
  </si>
  <si>
    <t>Entorno reproducible con datos de prueba</t>
  </si>
  <si>
    <t>SB2-16</t>
  </si>
  <si>
    <t>Preparar y ejecutar pruebas del alcance confirmado</t>
  </si>
  <si>
    <t>Casos con fecha, resultado, evidencia y responsable</t>
  </si>
  <si>
    <t>SB2-17</t>
  </si>
  <si>
    <t>Registrar defectos e informar retests</t>
  </si>
  <si>
    <t>Cada defecto vincula HU, pasos y corrección</t>
  </si>
  <si>
    <t>SB2-18</t>
  </si>
  <si>
    <t>Gestión</t>
  </si>
  <si>
    <t>Actualizar estados del tablero y enlaces de evidencia</t>
  </si>
  <si>
    <t>Equipo</t>
  </si>
  <si>
    <t>Tareas y commits trazables para la evaluación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</si>
</sst>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name val="Carlito"/>
    </font>
    <font>
      <b/>
      <sz val="15"/>
      <color rgb="FF1E4263"/>
      <name val="Arial"/>
    </font>
    <font>
      <i/>
      <sz val="10"/>
      <color rgb="FF657482"/>
      <name val="Arial"/>
    </font>
    <font>
      <b/>
      <sz val="10"/>
      <color rgb="FFFFFFFF"/>
      <name val="Arial"/>
    </font>
    <font>
      <sz val="10"/>
      <color rgb="FF263645"/>
      <name val="Arial"/>
    </font>
    <font>
      <b/>
      <sz val="11"/>
      <color rgb="FF1E4263"/>
      <name val="Arial"/>
    </font>
    <font>
      <sz val="10"/>
      <color rgb="FF657482"/>
      <name val="Arial"/>
    </font>
    <font>
      <b/>
      <sz val="16"/>
      <color rgb="FF1E4263"/>
      <name val="Arial"/>
    </font>
    <font>
      <b/>
      <sz val="10"/>
      <color rgb="FF1E4263"/>
      <name val="Arial"/>
    </font>
    <font>
      <b/>
      <sz val="12"/>
      <color rgb="FF1E4263"/>
      <name val="Arial"/>
    </font>
  </fonts>
  <fills count="6">
    <fill>
      <patternFill patternType="none"/>
    </fill>
    <fill>
      <patternFill patternType="gray125"/>
    </fill>
    <fill>
      <patternFill patternType="solid">
        <fgColor rgb="FF1E4263"/>
      </patternFill>
    </fill>
    <fill>
      <patternFill patternType="solid">
        <fgColor rgb="FFE8F1F8"/>
      </patternFill>
    </fill>
    <fill>
      <patternFill patternType="solid">
        <fgColor rgb="FFFFF0CC"/>
      </patternFill>
    </fill>
    <fill>
      <patternFill patternType="solid">
        <fgColor rgb="FFFFF8E7"/>
      </patternFill>
    </fill>
  </fills>
  <borders count="4">
    <border>
      <left/>
      <right/>
      <top/>
      <bottom/>
      <diagonal/>
    </border>
    <border>
      <left/>
      <right/>
      <top/>
      <bottom style="thin">
        <color rgb="FFE4EAF0"/>
      </bottom>
      <diagonal/>
    </border>
    <border>
      <left/>
      <right/>
      <top style="thin">
        <color rgb="FFE4EAF0"/>
      </top>
      <bottom style="thin">
        <color rgb="FFE4EAF0"/>
      </bottom>
      <diagonal/>
    </border>
    <border>
      <left/>
      <right/>
      <top style="thin">
        <color rgb="FFE4EAF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5" borderId="1" xfId="0" applyFont="1" applyFill="1" applyBorder="1"/>
    <xf numFmtId="0" fontId="4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" fontId="4" fillId="4" borderId="2" xfId="0" applyNumberFormat="1" applyFont="1" applyFill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5" borderId="2" xfId="0" applyFont="1" applyFill="1" applyBorder="1"/>
    <xf numFmtId="0" fontId="4" fillId="0" borderId="3" xfId="0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" fontId="4" fillId="4" borderId="3" xfId="0" applyNumberFormat="1" applyFont="1" applyFill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4" fillId="5" borderId="3" xfId="0" applyFont="1" applyFill="1" applyBorder="1"/>
  </cellXfs>
  <cellStyles count="1">
    <cellStyle name="Normal" xfId="0" builtinId="0"/>
  </cellStyles>
  <dxfs count="2">
    <dxf>
      <font>
        <color rgb="FF166534"/>
      </font>
      <fill>
        <patternFill patternType="solid">
          <bgColor rgb="FFE4F5EA"/>
        </patternFill>
      </fill>
    </dxf>
    <dxf>
      <font>
        <color rgb="FF991B1B"/>
      </font>
      <fill>
        <patternFill patternType="solid">
          <b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r>
              <a:rPr lang="es-CL" sz="900">
                <a:latin typeface="Arial"/>
                <a:ea typeface="Arial"/>
                <a:cs typeface="Arial"/>
              </a:rPr>
              <a:t>Tareas pendientes por día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Ideal pendiente</c:v>
          </c:tx>
          <c:spPr>
            <a:ln w="19050">
              <a:solidFill>
                <a:srgbClr val="7199BC"/>
              </a:solidFill>
              <a:prstDash val="dash"/>
            </a:ln>
          </c:spPr>
          <c:marker>
            <c:symbol val="none"/>
          </c:marker>
          <c:cat>
            <c:strRef>
              <c:f>Burndown!$I$12:$I$25</c:f>
              <c:strCache>
                <c:ptCount val="14"/>
                <c:pt idx="0">
                  <c:v>06/10</c:v>
                </c:pt>
                <c:pt idx="1">
                  <c:v>07/10</c:v>
                </c:pt>
                <c:pt idx="2">
                  <c:v>08/10</c:v>
                </c:pt>
                <c:pt idx="3">
                  <c:v>09/10</c:v>
                </c:pt>
                <c:pt idx="4">
                  <c:v>10/10</c:v>
                </c:pt>
                <c:pt idx="5">
                  <c:v>11/10</c:v>
                </c:pt>
                <c:pt idx="6">
                  <c:v>12/10</c:v>
                </c:pt>
                <c:pt idx="7">
                  <c:v>13/10</c:v>
                </c:pt>
                <c:pt idx="8">
                  <c:v>14/10</c:v>
                </c:pt>
                <c:pt idx="9">
                  <c:v>15/10</c:v>
                </c:pt>
                <c:pt idx="10">
                  <c:v>16/10</c:v>
                </c:pt>
                <c:pt idx="11">
                  <c:v>17/10</c:v>
                </c:pt>
                <c:pt idx="12">
                  <c:v>18/10</c:v>
                </c:pt>
                <c:pt idx="13">
                  <c:v>19/10</c:v>
                </c:pt>
              </c:strCache>
            </c:strRef>
          </c:cat>
          <c:val>
            <c:numRef>
              <c:f>Burndown!$K$12:$K$25</c:f>
              <c:numCache>
                <c:formatCode>0.0</c:formatCode>
                <c:ptCount val="14"/>
                <c:pt idx="0">
                  <c:v>18</c:v>
                </c:pt>
                <c:pt idx="1">
                  <c:v>16.600000000000001</c:v>
                </c:pt>
                <c:pt idx="2">
                  <c:v>15.2</c:v>
                </c:pt>
                <c:pt idx="3">
                  <c:v>13.8</c:v>
                </c:pt>
                <c:pt idx="4">
                  <c:v>12.5</c:v>
                </c:pt>
                <c:pt idx="5">
                  <c:v>11.1</c:v>
                </c:pt>
                <c:pt idx="6">
                  <c:v>9.6999999999999993</c:v>
                </c:pt>
                <c:pt idx="7">
                  <c:v>8.3000000000000007</c:v>
                </c:pt>
                <c:pt idx="8">
                  <c:v>6.9</c:v>
                </c:pt>
                <c:pt idx="9">
                  <c:v>5.5</c:v>
                </c:pt>
                <c:pt idx="10">
                  <c:v>4.2</c:v>
                </c:pt>
                <c:pt idx="11">
                  <c:v>2.8</c:v>
                </c:pt>
                <c:pt idx="12">
                  <c:v>1.4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0F-480F-87F4-ED4AAB67E857}"/>
            </c:ext>
          </c:extLst>
        </c:ser>
        <c:ser>
          <c:idx val="1"/>
          <c:order val="1"/>
          <c:tx>
            <c:v>Real pendiente</c:v>
          </c:tx>
          <c:spPr>
            <a:ln w="28575">
              <a:solidFill>
                <a:srgbClr val="1B6D93"/>
              </a:solidFill>
              <a:prstDash val="solid"/>
            </a:ln>
          </c:spPr>
          <c:marker>
            <c:symbol val="none"/>
          </c:marker>
          <c:cat>
            <c:strRef>
              <c:f>Burndown!$I$12:$I$25</c:f>
              <c:strCache>
                <c:ptCount val="14"/>
                <c:pt idx="0">
                  <c:v>06/10</c:v>
                </c:pt>
                <c:pt idx="1">
                  <c:v>07/10</c:v>
                </c:pt>
                <c:pt idx="2">
                  <c:v>08/10</c:v>
                </c:pt>
                <c:pt idx="3">
                  <c:v>09/10</c:v>
                </c:pt>
                <c:pt idx="4">
                  <c:v>10/10</c:v>
                </c:pt>
                <c:pt idx="5">
                  <c:v>11/10</c:v>
                </c:pt>
                <c:pt idx="6">
                  <c:v>12/10</c:v>
                </c:pt>
                <c:pt idx="7">
                  <c:v>13/10</c:v>
                </c:pt>
                <c:pt idx="8">
                  <c:v>14/10</c:v>
                </c:pt>
                <c:pt idx="9">
                  <c:v>15/10</c:v>
                </c:pt>
                <c:pt idx="10">
                  <c:v>16/10</c:v>
                </c:pt>
                <c:pt idx="11">
                  <c:v>17/10</c:v>
                </c:pt>
                <c:pt idx="12">
                  <c:v>18/10</c:v>
                </c:pt>
                <c:pt idx="13">
                  <c:v>19/10</c:v>
                </c:pt>
              </c:strCache>
            </c:strRef>
          </c:cat>
          <c:val>
            <c:numRef>
              <c:f>Burndown!$L$12:$L$25</c:f>
              <c:numCache>
                <c:formatCode>0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0F-480F-87F4-ED4AAB67E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s-CL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CL"/>
                  <a:t>Tareas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s-CL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s-CL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TareasSprint2" displayName="BaseTareasSprint2" ref="A5:E23" totalsRowShown="0">
  <tableColumns count="5">
    <tableColumn id="1" xr3:uid="{00000000-0010-0000-0000-000001000000}" name="ID"/>
    <tableColumn id="2" xr3:uid="{00000000-0010-0000-0000-000002000000}" name="Historia"/>
    <tableColumn id="3" xr3:uid="{00000000-0010-0000-0000-000003000000}" name="Actividad candidata"/>
    <tableColumn id="4" xr3:uid="{00000000-0010-0000-0000-000004000000}" name="Área sugerida"/>
    <tableColumn id="5" xr3:uid="{00000000-0010-0000-0000-000005000000}" name="Criterio de cierre propues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4263"/>
  </sheetPr>
  <dimension ref="A2:O38"/>
  <sheetViews>
    <sheetView showGridLines="0" tabSelected="1" workbookViewId="0">
      <selection activeCell="A30" sqref="A30:A38"/>
    </sheetView>
  </sheetViews>
  <sheetFormatPr baseColWidth="10" defaultColWidth="9" defaultRowHeight="14.25"/>
  <cols>
    <col min="1" max="7" width="16" customWidth="1"/>
    <col min="8" max="8" width="21" customWidth="1"/>
    <col min="9" max="9" width="15" customWidth="1"/>
    <col min="10" max="10" width="9" customWidth="1"/>
    <col min="11" max="12" width="20" customWidth="1"/>
    <col min="13" max="13" width="21" customWidth="1"/>
    <col min="14" max="14" width="17" customWidth="1"/>
    <col min="15" max="15" width="49" customWidth="1"/>
  </cols>
  <sheetData>
    <row r="2" spans="1:15" ht="20.25">
      <c r="A2" s="8" t="s">
        <v>0</v>
      </c>
    </row>
    <row r="3" spans="1:15">
      <c r="A3" s="7"/>
    </row>
    <row r="5" spans="1:15" ht="15.75">
      <c r="A5" s="9" t="s">
        <v>1</v>
      </c>
      <c r="B5" s="10">
        <f>COUNTA('Tareas base'!$A$6:$A$200)</f>
        <v>18</v>
      </c>
      <c r="C5" s="4"/>
      <c r="D5" s="4" t="s">
        <v>2</v>
      </c>
      <c r="E5" s="4">
        <f>COUNT(L12:L25)</f>
        <v>0</v>
      </c>
      <c r="F5" s="4"/>
      <c r="G5" s="4" t="s">
        <v>3</v>
      </c>
      <c r="H5" s="4" t="str">
        <f>IF(L25="","Sin dato real",L25)</f>
        <v>Sin dato real</v>
      </c>
    </row>
    <row r="7" spans="1:15">
      <c r="A7" s="2"/>
    </row>
    <row r="10" spans="1:15" ht="15">
      <c r="I10" s="6" t="s">
        <v>4</v>
      </c>
    </row>
    <row r="11" spans="1:15" ht="36" customHeight="1">
      <c r="I11" s="3" t="s">
        <v>5</v>
      </c>
      <c r="J11" s="3" t="s">
        <v>6</v>
      </c>
      <c r="K11" s="3" t="s">
        <v>7</v>
      </c>
      <c r="L11" s="3" t="s">
        <v>8</v>
      </c>
      <c r="M11" s="3" t="s">
        <v>9</v>
      </c>
      <c r="N11" s="3" t="s">
        <v>10</v>
      </c>
      <c r="O11" s="3" t="s">
        <v>11</v>
      </c>
    </row>
    <row r="12" spans="1:15" ht="33" customHeight="1">
      <c r="I12" s="11" t="s">
        <v>12</v>
      </c>
      <c r="J12" s="11">
        <v>1</v>
      </c>
      <c r="K12" s="12">
        <f t="shared" ref="K12:K25" si="0">ROUND($B$5*(1-(J12-1)/($J$25-1)),1)</f>
        <v>18</v>
      </c>
      <c r="L12" s="13"/>
      <c r="M12" s="14" t="str">
        <f t="shared" ref="M12:M25" si="1">IF(L12="","",$B$5-L12)</f>
        <v/>
      </c>
      <c r="N12" s="12" t="str">
        <f t="shared" ref="N12:N25" si="2">IF(L12="","",L12-K12)</f>
        <v/>
      </c>
      <c r="O12" s="15"/>
    </row>
    <row r="13" spans="1:15" ht="33" customHeight="1">
      <c r="I13" s="16" t="s">
        <v>13</v>
      </c>
      <c r="J13" s="16">
        <v>2</v>
      </c>
      <c r="K13" s="17">
        <f t="shared" si="0"/>
        <v>16.600000000000001</v>
      </c>
      <c r="L13" s="18"/>
      <c r="M13" s="19" t="str">
        <f t="shared" si="1"/>
        <v/>
      </c>
      <c r="N13" s="17" t="str">
        <f t="shared" si="2"/>
        <v/>
      </c>
      <c r="O13" s="20"/>
    </row>
    <row r="14" spans="1:15" ht="33" customHeight="1">
      <c r="I14" s="16" t="s">
        <v>14</v>
      </c>
      <c r="J14" s="16">
        <v>3</v>
      </c>
      <c r="K14" s="17">
        <f t="shared" si="0"/>
        <v>15.2</v>
      </c>
      <c r="L14" s="18"/>
      <c r="M14" s="19" t="str">
        <f t="shared" si="1"/>
        <v/>
      </c>
      <c r="N14" s="17" t="str">
        <f t="shared" si="2"/>
        <v/>
      </c>
      <c r="O14" s="20"/>
    </row>
    <row r="15" spans="1:15" ht="33" customHeight="1">
      <c r="I15" s="16" t="s">
        <v>15</v>
      </c>
      <c r="J15" s="16">
        <v>4</v>
      </c>
      <c r="K15" s="17">
        <f t="shared" si="0"/>
        <v>13.8</v>
      </c>
      <c r="L15" s="18"/>
      <c r="M15" s="19" t="str">
        <f t="shared" si="1"/>
        <v/>
      </c>
      <c r="N15" s="17" t="str">
        <f t="shared" si="2"/>
        <v/>
      </c>
      <c r="O15" s="20"/>
    </row>
    <row r="16" spans="1:15" ht="33" customHeight="1">
      <c r="I16" s="16" t="s">
        <v>16</v>
      </c>
      <c r="J16" s="16">
        <v>5</v>
      </c>
      <c r="K16" s="17">
        <f t="shared" si="0"/>
        <v>12.5</v>
      </c>
      <c r="L16" s="18"/>
      <c r="M16" s="19" t="str">
        <f t="shared" si="1"/>
        <v/>
      </c>
      <c r="N16" s="17" t="str">
        <f t="shared" si="2"/>
        <v/>
      </c>
      <c r="O16" s="20"/>
    </row>
    <row r="17" spans="1:15" ht="33" customHeight="1">
      <c r="I17" s="16" t="s">
        <v>17</v>
      </c>
      <c r="J17" s="16">
        <v>6</v>
      </c>
      <c r="K17" s="17">
        <f t="shared" si="0"/>
        <v>11.1</v>
      </c>
      <c r="L17" s="18"/>
      <c r="M17" s="19" t="str">
        <f t="shared" si="1"/>
        <v/>
      </c>
      <c r="N17" s="17" t="str">
        <f t="shared" si="2"/>
        <v/>
      </c>
      <c r="O17" s="20"/>
    </row>
    <row r="18" spans="1:15" ht="33" customHeight="1">
      <c r="I18" s="16" t="s">
        <v>18</v>
      </c>
      <c r="J18" s="16">
        <v>7</v>
      </c>
      <c r="K18" s="17">
        <f t="shared" si="0"/>
        <v>9.6999999999999993</v>
      </c>
      <c r="L18" s="18"/>
      <c r="M18" s="19" t="str">
        <f t="shared" si="1"/>
        <v/>
      </c>
      <c r="N18" s="17" t="str">
        <f t="shared" si="2"/>
        <v/>
      </c>
      <c r="O18" s="20"/>
    </row>
    <row r="19" spans="1:15" ht="33" customHeight="1">
      <c r="I19" s="16" t="s">
        <v>19</v>
      </c>
      <c r="J19" s="16">
        <v>8</v>
      </c>
      <c r="K19" s="17">
        <f t="shared" si="0"/>
        <v>8.3000000000000007</v>
      </c>
      <c r="L19" s="18"/>
      <c r="M19" s="19" t="str">
        <f t="shared" si="1"/>
        <v/>
      </c>
      <c r="N19" s="17" t="str">
        <f t="shared" si="2"/>
        <v/>
      </c>
      <c r="O19" s="20"/>
    </row>
    <row r="20" spans="1:15" ht="33" customHeight="1">
      <c r="I20" s="16" t="s">
        <v>20</v>
      </c>
      <c r="J20" s="16">
        <v>9</v>
      </c>
      <c r="K20" s="17">
        <f t="shared" si="0"/>
        <v>6.9</v>
      </c>
      <c r="L20" s="18"/>
      <c r="M20" s="19" t="str">
        <f t="shared" si="1"/>
        <v/>
      </c>
      <c r="N20" s="17" t="str">
        <f t="shared" si="2"/>
        <v/>
      </c>
      <c r="O20" s="20"/>
    </row>
    <row r="21" spans="1:15" ht="33" customHeight="1">
      <c r="I21" s="16" t="s">
        <v>21</v>
      </c>
      <c r="J21" s="16">
        <v>10</v>
      </c>
      <c r="K21" s="17">
        <f t="shared" si="0"/>
        <v>5.5</v>
      </c>
      <c r="L21" s="18"/>
      <c r="M21" s="19" t="str">
        <f t="shared" si="1"/>
        <v/>
      </c>
      <c r="N21" s="17" t="str">
        <f t="shared" si="2"/>
        <v/>
      </c>
      <c r="O21" s="20"/>
    </row>
    <row r="22" spans="1:15" ht="33" customHeight="1">
      <c r="I22" s="16" t="s">
        <v>22</v>
      </c>
      <c r="J22" s="16">
        <v>11</v>
      </c>
      <c r="K22" s="17">
        <f t="shared" si="0"/>
        <v>4.2</v>
      </c>
      <c r="L22" s="18"/>
      <c r="M22" s="19" t="str">
        <f t="shared" si="1"/>
        <v/>
      </c>
      <c r="N22" s="17" t="str">
        <f t="shared" si="2"/>
        <v/>
      </c>
      <c r="O22" s="20"/>
    </row>
    <row r="23" spans="1:15" ht="33" customHeight="1">
      <c r="I23" s="16" t="s">
        <v>23</v>
      </c>
      <c r="J23" s="16">
        <v>12</v>
      </c>
      <c r="K23" s="17">
        <f t="shared" si="0"/>
        <v>2.8</v>
      </c>
      <c r="L23" s="18"/>
      <c r="M23" s="19" t="str">
        <f t="shared" si="1"/>
        <v/>
      </c>
      <c r="N23" s="17" t="str">
        <f t="shared" si="2"/>
        <v/>
      </c>
      <c r="O23" s="20"/>
    </row>
    <row r="24" spans="1:15" ht="33" customHeight="1">
      <c r="I24" s="16" t="s">
        <v>24</v>
      </c>
      <c r="J24" s="16">
        <v>13</v>
      </c>
      <c r="K24" s="17">
        <f t="shared" si="0"/>
        <v>1.4</v>
      </c>
      <c r="L24" s="18"/>
      <c r="M24" s="19" t="str">
        <f t="shared" si="1"/>
        <v/>
      </c>
      <c r="N24" s="17" t="str">
        <f t="shared" si="2"/>
        <v/>
      </c>
      <c r="O24" s="20"/>
    </row>
    <row r="25" spans="1:15" ht="33" customHeight="1">
      <c r="I25" s="21" t="s">
        <v>25</v>
      </c>
      <c r="J25" s="21">
        <v>14</v>
      </c>
      <c r="K25" s="22">
        <f t="shared" si="0"/>
        <v>0</v>
      </c>
      <c r="L25" s="23"/>
      <c r="M25" s="24" t="str">
        <f t="shared" si="1"/>
        <v/>
      </c>
      <c r="N25" s="22" t="str">
        <f t="shared" si="2"/>
        <v/>
      </c>
      <c r="O25" s="25"/>
    </row>
    <row r="27" spans="1:15">
      <c r="I27" s="7"/>
    </row>
    <row r="28" spans="1:15">
      <c r="I28" s="7"/>
    </row>
    <row r="30" spans="1:15" ht="15">
      <c r="A30" s="6"/>
    </row>
    <row r="31" spans="1:15">
      <c r="A31" s="7"/>
    </row>
    <row r="32" spans="1:15">
      <c r="A32" s="7"/>
    </row>
    <row r="33" spans="1:1">
      <c r="A33" s="7"/>
    </row>
    <row r="35" spans="1:1" ht="15">
      <c r="A35" s="6"/>
    </row>
    <row r="36" spans="1:1">
      <c r="A36" s="7"/>
    </row>
    <row r="37" spans="1:1">
      <c r="A37" s="7"/>
    </row>
    <row r="38" spans="1:1">
      <c r="A38" s="7"/>
    </row>
  </sheetData>
  <conditionalFormatting sqref="N12:N2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892AA"/>
  </sheetPr>
  <dimension ref="A2:E28"/>
  <sheetViews>
    <sheetView showGridLines="0" workbookViewId="0">
      <pane ySplit="5" topLeftCell="A13" activePane="bottomLeft" state="frozen"/>
      <selection pane="bottomLeft" activeCell="A3" sqref="A3"/>
    </sheetView>
  </sheetViews>
  <sheetFormatPr baseColWidth="10" defaultColWidth="9" defaultRowHeight="14.25"/>
  <cols>
    <col min="1" max="1" width="16" customWidth="1"/>
    <col min="2" max="2" width="14" customWidth="1"/>
    <col min="3" max="3" width="60" customWidth="1"/>
    <col min="4" max="4" width="19" customWidth="1"/>
    <col min="5" max="5" width="66" customWidth="1"/>
  </cols>
  <sheetData>
    <row r="2" spans="1:5" ht="19.5">
      <c r="A2" s="1" t="s">
        <v>26</v>
      </c>
    </row>
    <row r="3" spans="1:5">
      <c r="A3" s="2"/>
    </row>
    <row r="5" spans="1:5" ht="30.95" customHeight="1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</row>
    <row r="6" spans="1:5" ht="30" customHeight="1">
      <c r="A6" s="4" t="s">
        <v>32</v>
      </c>
      <c r="B6" s="4" t="s">
        <v>33</v>
      </c>
      <c r="C6" s="5" t="s">
        <v>34</v>
      </c>
      <c r="D6" s="4" t="s">
        <v>35</v>
      </c>
      <c r="E6" s="5" t="s">
        <v>36</v>
      </c>
    </row>
    <row r="7" spans="1:5" ht="30" customHeight="1">
      <c r="A7" s="4" t="s">
        <v>37</v>
      </c>
      <c r="B7" s="4" t="s">
        <v>33</v>
      </c>
      <c r="C7" s="5" t="s">
        <v>38</v>
      </c>
      <c r="D7" s="4" t="s">
        <v>39</v>
      </c>
      <c r="E7" s="5" t="s">
        <v>40</v>
      </c>
    </row>
    <row r="8" spans="1:5" ht="30" customHeight="1">
      <c r="A8" s="4" t="s">
        <v>41</v>
      </c>
      <c r="B8" s="4" t="s">
        <v>33</v>
      </c>
      <c r="C8" s="5" t="s">
        <v>42</v>
      </c>
      <c r="D8" s="4" t="s">
        <v>43</v>
      </c>
      <c r="E8" s="5" t="s">
        <v>44</v>
      </c>
    </row>
    <row r="9" spans="1:5" ht="30" customHeight="1">
      <c r="A9" s="4" t="s">
        <v>45</v>
      </c>
      <c r="B9" s="4" t="s">
        <v>46</v>
      </c>
      <c r="C9" s="5" t="s">
        <v>47</v>
      </c>
      <c r="D9" s="4" t="s">
        <v>35</v>
      </c>
      <c r="E9" s="5" t="s">
        <v>48</v>
      </c>
    </row>
    <row r="10" spans="1:5" ht="30" customHeight="1">
      <c r="A10" s="4" t="s">
        <v>49</v>
      </c>
      <c r="B10" s="4" t="s">
        <v>46</v>
      </c>
      <c r="C10" s="5" t="s">
        <v>50</v>
      </c>
      <c r="D10" s="4" t="s">
        <v>51</v>
      </c>
      <c r="E10" s="5" t="s">
        <v>52</v>
      </c>
    </row>
    <row r="11" spans="1:5" ht="30" customHeight="1">
      <c r="A11" s="4" t="s">
        <v>53</v>
      </c>
      <c r="B11" s="4" t="s">
        <v>46</v>
      </c>
      <c r="C11" s="5" t="s">
        <v>54</v>
      </c>
      <c r="D11" s="4" t="s">
        <v>55</v>
      </c>
      <c r="E11" s="5" t="s">
        <v>56</v>
      </c>
    </row>
    <row r="12" spans="1:5" ht="30" customHeight="1">
      <c r="A12" s="4" t="s">
        <v>57</v>
      </c>
      <c r="B12" s="4" t="s">
        <v>58</v>
      </c>
      <c r="C12" s="5" t="s">
        <v>59</v>
      </c>
      <c r="D12" s="4" t="s">
        <v>35</v>
      </c>
      <c r="E12" s="5" t="s">
        <v>60</v>
      </c>
    </row>
    <row r="13" spans="1:5" ht="30" customHeight="1">
      <c r="A13" s="4" t="s">
        <v>61</v>
      </c>
      <c r="B13" s="4" t="s">
        <v>58</v>
      </c>
      <c r="C13" s="5" t="s">
        <v>62</v>
      </c>
      <c r="D13" s="4" t="s">
        <v>51</v>
      </c>
      <c r="E13" s="5" t="s">
        <v>63</v>
      </c>
    </row>
    <row r="14" spans="1:5" ht="30" customHeight="1">
      <c r="A14" s="4" t="s">
        <v>64</v>
      </c>
      <c r="B14" s="4" t="s">
        <v>58</v>
      </c>
      <c r="C14" s="5" t="s">
        <v>65</v>
      </c>
      <c r="D14" s="4" t="s">
        <v>43</v>
      </c>
      <c r="E14" s="5" t="s">
        <v>66</v>
      </c>
    </row>
    <row r="15" spans="1:5" ht="30" customHeight="1">
      <c r="A15" s="4" t="s">
        <v>67</v>
      </c>
      <c r="B15" s="4" t="s">
        <v>68</v>
      </c>
      <c r="C15" s="5" t="s">
        <v>69</v>
      </c>
      <c r="D15" s="4" t="s">
        <v>35</v>
      </c>
      <c r="E15" s="5" t="s">
        <v>70</v>
      </c>
    </row>
    <row r="16" spans="1:5" ht="30" customHeight="1">
      <c r="A16" s="4" t="s">
        <v>71</v>
      </c>
      <c r="B16" s="4" t="s">
        <v>68</v>
      </c>
      <c r="C16" s="5" t="s">
        <v>72</v>
      </c>
      <c r="D16" s="4" t="s">
        <v>43</v>
      </c>
      <c r="E16" s="5" t="s">
        <v>73</v>
      </c>
    </row>
    <row r="17" spans="1:5" ht="30" customHeight="1">
      <c r="A17" s="4" t="s">
        <v>74</v>
      </c>
      <c r="B17" s="4" t="s">
        <v>75</v>
      </c>
      <c r="C17" s="5" t="s">
        <v>76</v>
      </c>
      <c r="D17" s="4" t="s">
        <v>35</v>
      </c>
      <c r="E17" s="5" t="s">
        <v>77</v>
      </c>
    </row>
    <row r="18" spans="1:5" ht="30" customHeight="1">
      <c r="A18" s="4" t="s">
        <v>78</v>
      </c>
      <c r="B18" s="4" t="s">
        <v>75</v>
      </c>
      <c r="C18" s="5" t="s">
        <v>79</v>
      </c>
      <c r="D18" s="4" t="s">
        <v>80</v>
      </c>
      <c r="E18" s="5" t="s">
        <v>81</v>
      </c>
    </row>
    <row r="19" spans="1:5" ht="30" customHeight="1">
      <c r="A19" s="4" t="s">
        <v>82</v>
      </c>
      <c r="B19" s="4" t="s">
        <v>83</v>
      </c>
      <c r="C19" s="5" t="s">
        <v>84</v>
      </c>
      <c r="D19" s="4" t="s">
        <v>80</v>
      </c>
      <c r="E19" s="5" t="s">
        <v>85</v>
      </c>
    </row>
    <row r="20" spans="1:5" ht="30" customHeight="1">
      <c r="A20" s="4" t="s">
        <v>86</v>
      </c>
      <c r="B20" s="4" t="s">
        <v>87</v>
      </c>
      <c r="C20" s="5" t="s">
        <v>88</v>
      </c>
      <c r="D20" s="4" t="s">
        <v>89</v>
      </c>
      <c r="E20" s="5" t="s">
        <v>90</v>
      </c>
    </row>
    <row r="21" spans="1:5" ht="30" customHeight="1">
      <c r="A21" s="4" t="s">
        <v>91</v>
      </c>
      <c r="B21" s="4" t="s">
        <v>55</v>
      </c>
      <c r="C21" s="5" t="s">
        <v>92</v>
      </c>
      <c r="D21" s="4" t="s">
        <v>55</v>
      </c>
      <c r="E21" s="5" t="s">
        <v>93</v>
      </c>
    </row>
    <row r="22" spans="1:5" ht="30" customHeight="1">
      <c r="A22" s="4" t="s">
        <v>94</v>
      </c>
      <c r="B22" s="4" t="s">
        <v>55</v>
      </c>
      <c r="C22" s="5" t="s">
        <v>95</v>
      </c>
      <c r="D22" s="4" t="s">
        <v>55</v>
      </c>
      <c r="E22" s="5" t="s">
        <v>96</v>
      </c>
    </row>
    <row r="23" spans="1:5" ht="30" customHeight="1">
      <c r="A23" s="4" t="s">
        <v>97</v>
      </c>
      <c r="B23" s="4" t="s">
        <v>98</v>
      </c>
      <c r="C23" s="5" t="s">
        <v>99</v>
      </c>
      <c r="D23" s="4" t="s">
        <v>100</v>
      </c>
      <c r="E23" s="5" t="s">
        <v>101</v>
      </c>
    </row>
    <row r="26" spans="1:5" ht="15">
      <c r="A26" s="6"/>
    </row>
    <row r="27" spans="1:5">
      <c r="A27" s="7"/>
    </row>
    <row r="28" spans="1:5">
      <c r="A28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Burndown</vt:lpstr>
      <vt:lpstr>Tareas 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og TaKen</cp:lastModifiedBy>
  <dcterms:modified xsi:type="dcterms:W3CDTF">2026-10-19T12:45:22Z</dcterms:modified>
</cp:coreProperties>
</file>