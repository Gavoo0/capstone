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b680ed20cb65f7b/Documentos/Capstone/Fase2/Archivos Listos/"/>
    </mc:Choice>
  </mc:AlternateContent>
  <xr:revisionPtr revIDLastSave="27" documentId="11_7BFA5CA648DF9DAA6112EE08D6598A0CBFBFADF9" xr6:coauthVersionLast="47" xr6:coauthVersionMax="47" xr10:uidLastSave="{5DF2512E-1D48-4CE6-842E-693A0E3F2971}"/>
  <bookViews>
    <workbookView xWindow="-120" yWindow="-120" windowWidth="29040" windowHeight="16440" activeTab="1" xr2:uid="{00000000-000D-0000-FFFF-FFFF00000000}"/>
  </bookViews>
  <sheets>
    <sheet name="Sprint Backlog 2" sheetId="1" r:id="rId1"/>
    <sheet name="HU de referenc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B6" i="1" s="1"/>
  <c r="H6" i="1"/>
  <c r="E6" i="1"/>
  <c r="H5" i="1"/>
  <c r="E5" i="1"/>
  <c r="B5" i="1"/>
</calcChain>
</file>

<file path=xl/sharedStrings.xml><?xml version="1.0" encoding="utf-8"?>
<sst xmlns="http://schemas.openxmlformats.org/spreadsheetml/2006/main" count="174" uniqueCount="128">
  <si>
    <t>Sprint Backlog 2</t>
  </si>
  <si>
    <t>Tareas propuestas</t>
  </si>
  <si>
    <t>Completadas registradas</t>
  </si>
  <si>
    <t>Sin responsable</t>
  </si>
  <si>
    <t>Horas HU referencia</t>
  </si>
  <si>
    <t>Restante (h)</t>
  </si>
  <si>
    <t>Horas tareas (h)</t>
  </si>
  <si>
    <t>ID interno</t>
  </si>
  <si>
    <t>Historia</t>
  </si>
  <si>
    <t>Actividad propuesta</t>
  </si>
  <si>
    <t>Área sugerida</t>
  </si>
  <si>
    <t>Responsable</t>
  </si>
  <si>
    <t>Estado confirmado</t>
  </si>
  <si>
    <t>Est. tarea (h)</t>
  </si>
  <si>
    <t>Pendiente (h)</t>
  </si>
  <si>
    <t>Criterio de cierre</t>
  </si>
  <si>
    <t>Evidencia y observación</t>
  </si>
  <si>
    <t>SB2-01</t>
  </si>
  <si>
    <t>US-01</t>
  </si>
  <si>
    <t>Conectar la pantalla administrativa de vehículos con la API</t>
  </si>
  <si>
    <t>Frontend</t>
  </si>
  <si>
    <t>Crear, editar y desactivar vehículos por sede</t>
  </si>
  <si>
    <t>La copia contiene rutas /api/vehiculos</t>
  </si>
  <si>
    <t>SB2-02</t>
  </si>
  <si>
    <t>Validar asignación de recursos a Macul o Peñalolén</t>
  </si>
  <si>
    <t>Backend / QA</t>
  </si>
  <si>
    <t>Datos por sede consistentes y sin duplicidades</t>
  </si>
  <si>
    <t>La API permite consultar vehículos por sede</t>
  </si>
  <si>
    <t>SB2-03</t>
  </si>
  <si>
    <t>Integrar gestión de instructores con el módulo de flota</t>
  </si>
  <si>
    <t>Full stack</t>
  </si>
  <si>
    <t>Recursos humanos disponibles para planificación</t>
  </si>
  <si>
    <t>Hay rutas de usuarios y sedes; interfaz por verificar</t>
  </si>
  <si>
    <t>SB2-04</t>
  </si>
  <si>
    <t>US-02</t>
  </si>
  <si>
    <t>Implementar formulario administrativo de bloqueos</t>
  </si>
  <si>
    <t>Seleccionar fecha, horario, vehículo e instructor</t>
  </si>
  <si>
    <t>La vista AgendamientoAdmin muestra «Próximamente»</t>
  </si>
  <si>
    <t>SB2-05</t>
  </si>
  <si>
    <t>Aplicar bloqueos en disponibilidad y agendamiento</t>
  </si>
  <si>
    <t>Backend</t>
  </si>
  <si>
    <t>No permitir reservas en recursos bloqueados</t>
  </si>
  <si>
    <t>La copia contiene servicios de bloqueos y clases</t>
  </si>
  <si>
    <t>SB2-06</t>
  </si>
  <si>
    <t>Verificar un bloqueo y sus efectos en la agenda</t>
  </si>
  <si>
    <t>QA</t>
  </si>
  <si>
    <t>Evidencia de recurso bloqueado y reducción de disponibilidad</t>
  </si>
  <si>
    <t>Caso propuesto; no consta una ejecución validada</t>
  </si>
  <si>
    <t>SB2-07</t>
  </si>
  <si>
    <t>US-03</t>
  </si>
  <si>
    <t>Conectar inicio de sesión con /api/usuarios/login</t>
  </si>
  <si>
    <t>Credenciales válidas e inválidas tratadas correctamente</t>
  </si>
  <si>
    <t>Formulario actual solo evita el envío</t>
  </si>
  <si>
    <t>SB2-08</t>
  </si>
  <si>
    <t>Proteger rutas según rol y revisar seguridad de acceso</t>
  </si>
  <si>
    <t>Acceso privado y restricciones por usuario</t>
  </si>
  <si>
    <t>No se observó middleware RBAC en la copia</t>
  </si>
  <si>
    <t>SB2-09</t>
  </si>
  <si>
    <t>Mostrar la Tarjeta Web y progreso del alumno</t>
  </si>
  <si>
    <t>Alumno visualiza solo su propio avance</t>
  </si>
  <si>
    <t>DashboardAlumno muestra «Próximamente»</t>
  </si>
  <si>
    <t>SB2-10</t>
  </si>
  <si>
    <t>US-04</t>
  </si>
  <si>
    <t>Construir agenda diaria del instructor</t>
  </si>
  <si>
    <t>Mostrar clases del día con estudiante y vehículo</t>
  </si>
  <si>
    <t>PanelInstructor muestra «Próximamente»</t>
  </si>
  <si>
    <t>SB2-11</t>
  </si>
  <si>
    <t>Consultar clases desde backend por instructor</t>
  </si>
  <si>
    <t>Agenda refleja datos reales y estados vacíos</t>
  </si>
  <si>
    <t>La API de clases está presente; integración pendiente</t>
  </si>
  <si>
    <t>SB2-12</t>
  </si>
  <si>
    <t>US-06</t>
  </si>
  <si>
    <t>Mostrar disponibilidad de vehículos por bloque</t>
  </si>
  <si>
    <t>Disponibilidad actualizada según sede y horario</t>
  </si>
  <si>
    <t>Existe GET de vehículos disponibles</t>
  </si>
  <si>
    <t>SB2-13</t>
  </si>
  <si>
    <t>Mostrar advertencias de bloqueos o conflictos</t>
  </si>
  <si>
    <t>Frontend / QA</t>
  </si>
  <si>
    <t>Bloques no disponibles señalizados sin ambigüedad</t>
  </si>
  <si>
    <t>Pantalla de disponibilidad pendiente en copia</t>
  </si>
  <si>
    <t>SB2-14</t>
  </si>
  <si>
    <t>US-10</t>
  </si>
  <si>
    <t>Revisar catálogo, requisitos y datos de sucursales</t>
  </si>
  <si>
    <t>Información visible según criterios de la HU</t>
  </si>
  <si>
    <t>Portada pública contiene cursos y sedes; tarifas por validar</t>
  </si>
  <si>
    <t>SB2-15</t>
  </si>
  <si>
    <t>Soporte</t>
  </si>
  <si>
    <t>Alinear esquema SQL y configuración de base de datos</t>
  </si>
  <si>
    <t>Backend / Infra</t>
  </si>
  <si>
    <t>Entorno reproducible con datos de prueba</t>
  </si>
  <si>
    <t>Backend usa MySQL; Docker declara PostgreSQL</t>
  </si>
  <si>
    <t>SB2-16</t>
  </si>
  <si>
    <t>Preparar y ejecutar pruebas del alcance confirmado</t>
  </si>
  <si>
    <t>Casos con fecha, resultado, evidencia y responsable</t>
  </si>
  <si>
    <t>El Plan QA Sprint 1 incluía seis casos planificados</t>
  </si>
  <si>
    <t>SB2-17</t>
  </si>
  <si>
    <t>Registrar defectos e informar retests</t>
  </si>
  <si>
    <t>Cada defecto vincula HU, pasos y corrección</t>
  </si>
  <si>
    <t>No se recuperó registro de ejecución en la copia</t>
  </si>
  <si>
    <t>SB2-18</t>
  </si>
  <si>
    <t>Gestión</t>
  </si>
  <si>
    <t>Actualizar estados del tablero y enlaces de evidencia</t>
  </si>
  <si>
    <t>Equipo</t>
  </si>
  <si>
    <t>Tareas y commits trazables para la evaluación</t>
  </si>
  <si>
    <t>La captura Jira pertenece a un estado anterior</t>
  </si>
  <si>
    <t>Historias candidatas del Sprint 2</t>
  </si>
  <si>
    <t>HU</t>
  </si>
  <si>
    <t>Historia de usuario</t>
  </si>
  <si>
    <t>Prioridad</t>
  </si>
  <si>
    <t>Estimación backlog (h)</t>
  </si>
  <si>
    <t>Brecha observada en copia del proyecto</t>
  </si>
  <si>
    <t>Gestión de la flota de vehículos e instructores</t>
  </si>
  <si>
    <t>Alta</t>
  </si>
  <si>
    <t>API vehículos presente; falta verificar UI administrativa integrada</t>
  </si>
  <si>
    <t>Bloqueo de disponibilidad por salida municipal</t>
  </si>
  <si>
    <t>API bloqueos presente; interfaz y pruebas de reservas pendientes</t>
  </si>
  <si>
    <t>Acceso a Tarjeta Web mediante inicio de sesión</t>
  </si>
  <si>
    <t>Login visual y API separadas; Tarjeta Web pendiente</t>
  </si>
  <si>
    <t>Visualización de agenda diaria (instructor)</t>
  </si>
  <si>
    <t>PanelInstructor es placeholder</t>
  </si>
  <si>
    <t>Consulta de disponibilidad de vehículos</t>
  </si>
  <si>
    <t>Consulta backend presente; vista de advertencia pendiente</t>
  </si>
  <si>
    <t>Exploración del catálogo y sucursales</t>
  </si>
  <si>
    <t>Medio</t>
  </si>
  <si>
    <t>Portada visible; validar tarifas y requisitos</t>
  </si>
  <si>
    <t>Total horas de HU propuestas</t>
  </si>
  <si>
    <t>Por hacer</t>
  </si>
  <si>
    <t>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</si>
</sst>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name val="Carlito"/>
    </font>
    <font>
      <b/>
      <sz val="16"/>
      <color rgb="FF000000"/>
      <name val="Arial"/>
    </font>
    <font>
      <i/>
      <sz val="10"/>
      <color rgb="FF596574"/>
      <name val="Arial"/>
    </font>
    <font>
      <b/>
      <sz val="16"/>
      <color rgb="FF252B33"/>
      <name val="Arial"/>
    </font>
    <font>
      <i/>
      <sz val="10"/>
      <color rgb="FF252B33"/>
      <name val="Arial"/>
    </font>
    <font>
      <sz val="11"/>
      <color rgb="FF252B33"/>
      <name val="Arial"/>
    </font>
    <font>
      <b/>
      <sz val="10"/>
      <color rgb="FFFFFFFF"/>
      <name val="Arial"/>
    </font>
    <font>
      <sz val="10"/>
      <color rgb="FF252B33"/>
      <name val="Arial"/>
    </font>
    <font>
      <b/>
      <sz val="11"/>
      <color rgb="FF203B5A"/>
      <name val="Arial"/>
    </font>
    <font>
      <sz val="10"/>
      <color rgb="FF596574"/>
      <name val="Arial"/>
    </font>
    <font>
      <b/>
      <sz val="10"/>
      <color rgb="FF203B5A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B5A"/>
      </patternFill>
    </fill>
    <fill>
      <patternFill patternType="solid">
        <fgColor rgb="FFFFF2CF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6" fillId="2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wrapText="1"/>
    </xf>
    <xf numFmtId="1" fontId="7" fillId="0" borderId="0" xfId="0" applyNumberFormat="1" applyFont="1"/>
    <xf numFmtId="0" fontId="10" fillId="4" borderId="0" xfId="0" applyFont="1" applyFill="1"/>
  </cellXfs>
  <cellStyles count="1">
    <cellStyle name="Normal" xfId="0" builtinId="0"/>
  </cellStyles>
  <dxfs count="2"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2Tasks" displayName="Sprint2Tasks" ref="A8:J26" totalsRowShown="0">
  <autoFilter ref="A8:J26" xr:uid="{00000000-0009-0000-0100-000001000000}"/>
  <tableColumns count="10">
    <tableColumn id="1" xr3:uid="{00000000-0010-0000-0000-000001000000}" name="ID interno"/>
    <tableColumn id="2" xr3:uid="{00000000-0010-0000-0000-000002000000}" name="Historia"/>
    <tableColumn id="3" xr3:uid="{00000000-0010-0000-0000-000003000000}" name="Actividad propuesta"/>
    <tableColumn id="4" xr3:uid="{00000000-0010-0000-0000-000004000000}" name="Área sugerida"/>
    <tableColumn id="5" xr3:uid="{00000000-0010-0000-0000-000005000000}" name="Responsable"/>
    <tableColumn id="6" xr3:uid="{00000000-0010-0000-0000-000006000000}" name="Estado confirmado"/>
    <tableColumn id="7" xr3:uid="{00000000-0010-0000-0000-000007000000}" name="Est. tarea (h)"/>
    <tableColumn id="8" xr3:uid="{00000000-0010-0000-0000-000008000000}" name="Pendiente (h)"/>
    <tableColumn id="9" xr3:uid="{00000000-0010-0000-0000-000009000000}" name="Criterio de cierre"/>
    <tableColumn id="10" xr3:uid="{00000000-0010-0000-0000-00000A000000}" name="Evidencia y 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oriesProposed" displayName="StoriesProposed" ref="A5:E11" totalsRowShown="0">
  <autoFilter ref="A5:E11" xr:uid="{00000000-0009-0000-0100-000002000000}"/>
  <tableColumns count="5">
    <tableColumn id="1" xr3:uid="{00000000-0010-0000-0100-000001000000}" name="HU"/>
    <tableColumn id="2" xr3:uid="{00000000-0010-0000-0100-000002000000}" name="Historia de usuario"/>
    <tableColumn id="3" xr3:uid="{00000000-0010-0000-0100-000003000000}" name="Prioridad"/>
    <tableColumn id="4" xr3:uid="{00000000-0010-0000-0100-000004000000}" name="Estimación backlog (h)"/>
    <tableColumn id="5" xr3:uid="{00000000-0010-0000-0100-000005000000}" name="Brecha observada en copia del proye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B5A"/>
  </sheetPr>
  <dimension ref="A2:J31"/>
  <sheetViews>
    <sheetView showGridLines="0" workbookViewId="0">
      <pane ySplit="8" topLeftCell="A9" activePane="bottomLeft" state="frozen"/>
      <selection pane="bottomLeft" activeCell="C7" sqref="C7"/>
    </sheetView>
  </sheetViews>
  <sheetFormatPr baseColWidth="10" defaultColWidth="9" defaultRowHeight="14.25"/>
  <cols>
    <col min="1" max="1" width="22.125" bestFit="1" customWidth="1"/>
    <col min="2" max="2" width="13" customWidth="1"/>
    <col min="3" max="3" width="59" customWidth="1"/>
    <col min="4" max="4" width="19.375" customWidth="1"/>
    <col min="5" max="5" width="21" customWidth="1"/>
    <col min="6" max="6" width="19" customWidth="1"/>
    <col min="7" max="8" width="17" customWidth="1"/>
    <col min="9" max="10" width="57" customWidth="1"/>
  </cols>
  <sheetData>
    <row r="2" spans="1:10" ht="2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27.95" customHeight="1">
      <c r="A5" s="15" t="s">
        <v>1</v>
      </c>
      <c r="B5" s="15">
        <f>COUNTA(A9:A26)</f>
        <v>18</v>
      </c>
      <c r="C5" s="15"/>
      <c r="D5" s="15" t="s">
        <v>2</v>
      </c>
      <c r="E5" s="15">
        <f>COUNTIFS(F9:F26,"Completado")</f>
        <v>3</v>
      </c>
      <c r="F5" s="15"/>
      <c r="G5" s="15" t="s">
        <v>3</v>
      </c>
      <c r="H5" s="15">
        <f>COUNTBLANK(E9:E26)</f>
        <v>18</v>
      </c>
      <c r="I5" s="15"/>
      <c r="J5" s="15"/>
    </row>
    <row r="6" spans="1:10" ht="27.95" customHeight="1">
      <c r="A6" s="15" t="s">
        <v>4</v>
      </c>
      <c r="B6" s="15">
        <f>'HU de referencia'!D13</f>
        <v>56</v>
      </c>
      <c r="C6" s="15"/>
      <c r="D6" s="15" t="s">
        <v>5</v>
      </c>
      <c r="E6" s="15" t="str">
        <f>IF(COUNT(H9:H26)=0,"Sin registrar",SUM(H9:H26))</f>
        <v>Sin registrar</v>
      </c>
      <c r="F6" s="15"/>
      <c r="G6" s="15" t="s">
        <v>6</v>
      </c>
      <c r="H6" s="15" t="str">
        <f>IF(COUNT(G9:G26)=0,"Por estimar",SUM(G9:G26))</f>
        <v>Por estimar</v>
      </c>
      <c r="I6" s="15"/>
      <c r="J6" s="1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6" customHeight="1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</row>
    <row r="9" spans="1:10" ht="42.95" customHeight="1">
      <c r="A9" s="8" t="s">
        <v>17</v>
      </c>
      <c r="B9" s="8" t="s">
        <v>18</v>
      </c>
      <c r="C9" s="7" t="s">
        <v>19</v>
      </c>
      <c r="D9" s="7" t="s">
        <v>20</v>
      </c>
      <c r="E9" s="9"/>
      <c r="F9" s="10" t="s">
        <v>127</v>
      </c>
      <c r="G9" s="11"/>
      <c r="H9" s="11"/>
      <c r="I9" s="7" t="s">
        <v>21</v>
      </c>
      <c r="J9" s="7" t="s">
        <v>22</v>
      </c>
    </row>
    <row r="10" spans="1:10" ht="42.95" customHeight="1">
      <c r="A10" s="8" t="s">
        <v>23</v>
      </c>
      <c r="B10" s="8" t="s">
        <v>18</v>
      </c>
      <c r="C10" s="7" t="s">
        <v>24</v>
      </c>
      <c r="D10" s="7" t="s">
        <v>25</v>
      </c>
      <c r="E10" s="9"/>
      <c r="F10" s="10" t="s">
        <v>126</v>
      </c>
      <c r="G10" s="11"/>
      <c r="H10" s="11"/>
      <c r="I10" s="7" t="s">
        <v>26</v>
      </c>
      <c r="J10" s="7" t="s">
        <v>27</v>
      </c>
    </row>
    <row r="11" spans="1:10" ht="42.95" customHeight="1">
      <c r="A11" s="8" t="s">
        <v>28</v>
      </c>
      <c r="B11" s="8" t="s">
        <v>18</v>
      </c>
      <c r="C11" s="7" t="s">
        <v>29</v>
      </c>
      <c r="D11" s="7" t="s">
        <v>30</v>
      </c>
      <c r="E11" s="9"/>
      <c r="F11" s="10" t="s">
        <v>126</v>
      </c>
      <c r="G11" s="11"/>
      <c r="H11" s="11"/>
      <c r="I11" s="7" t="s">
        <v>31</v>
      </c>
      <c r="J11" s="7" t="s">
        <v>32</v>
      </c>
    </row>
    <row r="12" spans="1:10" ht="42.95" customHeight="1">
      <c r="A12" s="8" t="s">
        <v>33</v>
      </c>
      <c r="B12" s="8" t="s">
        <v>34</v>
      </c>
      <c r="C12" s="7" t="s">
        <v>35</v>
      </c>
      <c r="D12" s="7" t="s">
        <v>20</v>
      </c>
      <c r="E12" s="9"/>
      <c r="F12" s="10" t="s">
        <v>126</v>
      </c>
      <c r="G12" s="11"/>
      <c r="H12" s="11"/>
      <c r="I12" s="7" t="s">
        <v>36</v>
      </c>
      <c r="J12" s="7" t="s">
        <v>37</v>
      </c>
    </row>
    <row r="13" spans="1:10" ht="42.95" customHeight="1">
      <c r="A13" s="8" t="s">
        <v>38</v>
      </c>
      <c r="B13" s="8" t="s">
        <v>34</v>
      </c>
      <c r="C13" s="7" t="s">
        <v>39</v>
      </c>
      <c r="D13" s="7" t="s">
        <v>40</v>
      </c>
      <c r="E13" s="9"/>
      <c r="F13" s="10" t="s">
        <v>126</v>
      </c>
      <c r="G13" s="11"/>
      <c r="H13" s="11"/>
      <c r="I13" s="7" t="s">
        <v>41</v>
      </c>
      <c r="J13" s="7" t="s">
        <v>42</v>
      </c>
    </row>
    <row r="14" spans="1:10" ht="42.95" customHeight="1">
      <c r="A14" s="8" t="s">
        <v>43</v>
      </c>
      <c r="B14" s="8" t="s">
        <v>34</v>
      </c>
      <c r="C14" s="7" t="s">
        <v>44</v>
      </c>
      <c r="D14" s="7" t="s">
        <v>45</v>
      </c>
      <c r="E14" s="9"/>
      <c r="F14" s="10" t="s">
        <v>126</v>
      </c>
      <c r="G14" s="11"/>
      <c r="H14" s="11"/>
      <c r="I14" s="7" t="s">
        <v>46</v>
      </c>
      <c r="J14" s="7" t="s">
        <v>47</v>
      </c>
    </row>
    <row r="15" spans="1:10" ht="42.95" customHeight="1">
      <c r="A15" s="8" t="s">
        <v>48</v>
      </c>
      <c r="B15" s="8" t="s">
        <v>49</v>
      </c>
      <c r="C15" s="7" t="s">
        <v>50</v>
      </c>
      <c r="D15" s="7" t="s">
        <v>20</v>
      </c>
      <c r="E15" s="9"/>
      <c r="F15" s="10" t="s">
        <v>126</v>
      </c>
      <c r="G15" s="11"/>
      <c r="H15" s="11"/>
      <c r="I15" s="7" t="s">
        <v>51</v>
      </c>
      <c r="J15" s="7" t="s">
        <v>52</v>
      </c>
    </row>
    <row r="16" spans="1:10" ht="42.95" customHeight="1">
      <c r="A16" s="8" t="s">
        <v>53</v>
      </c>
      <c r="B16" s="8" t="s">
        <v>49</v>
      </c>
      <c r="C16" s="7" t="s">
        <v>54</v>
      </c>
      <c r="D16" s="7" t="s">
        <v>40</v>
      </c>
      <c r="E16" s="9"/>
      <c r="F16" s="10" t="s">
        <v>126</v>
      </c>
      <c r="G16" s="11"/>
      <c r="H16" s="11"/>
      <c r="I16" s="7" t="s">
        <v>55</v>
      </c>
      <c r="J16" s="7" t="s">
        <v>56</v>
      </c>
    </row>
    <row r="17" spans="1:10" ht="42.95" customHeight="1">
      <c r="A17" s="8" t="s">
        <v>57</v>
      </c>
      <c r="B17" s="8" t="s">
        <v>49</v>
      </c>
      <c r="C17" s="7" t="s">
        <v>58</v>
      </c>
      <c r="D17" s="7" t="s">
        <v>30</v>
      </c>
      <c r="E17" s="9"/>
      <c r="F17" s="10" t="s">
        <v>126</v>
      </c>
      <c r="G17" s="11"/>
      <c r="H17" s="11"/>
      <c r="I17" s="7" t="s">
        <v>59</v>
      </c>
      <c r="J17" s="7" t="s">
        <v>60</v>
      </c>
    </row>
    <row r="18" spans="1:10" ht="42.95" customHeight="1">
      <c r="A18" s="8" t="s">
        <v>61</v>
      </c>
      <c r="B18" s="8" t="s">
        <v>62</v>
      </c>
      <c r="C18" s="7" t="s">
        <v>63</v>
      </c>
      <c r="D18" s="7" t="s">
        <v>20</v>
      </c>
      <c r="E18" s="9"/>
      <c r="F18" s="10" t="s">
        <v>126</v>
      </c>
      <c r="G18" s="11"/>
      <c r="H18" s="11"/>
      <c r="I18" s="7" t="s">
        <v>64</v>
      </c>
      <c r="J18" s="7" t="s">
        <v>65</v>
      </c>
    </row>
    <row r="19" spans="1:10" ht="42.95" customHeight="1">
      <c r="A19" s="8" t="s">
        <v>66</v>
      </c>
      <c r="B19" s="8" t="s">
        <v>62</v>
      </c>
      <c r="C19" s="7" t="s">
        <v>67</v>
      </c>
      <c r="D19" s="7" t="s">
        <v>30</v>
      </c>
      <c r="E19" s="9"/>
      <c r="F19" s="10" t="s">
        <v>126</v>
      </c>
      <c r="G19" s="11"/>
      <c r="H19" s="11"/>
      <c r="I19" s="7" t="s">
        <v>68</v>
      </c>
      <c r="J19" s="7" t="s">
        <v>69</v>
      </c>
    </row>
    <row r="20" spans="1:10" ht="42.95" customHeight="1">
      <c r="A20" s="8" t="s">
        <v>70</v>
      </c>
      <c r="B20" s="8" t="s">
        <v>71</v>
      </c>
      <c r="C20" s="7" t="s">
        <v>72</v>
      </c>
      <c r="D20" s="7" t="s">
        <v>20</v>
      </c>
      <c r="E20" s="9"/>
      <c r="F20" s="10" t="s">
        <v>126</v>
      </c>
      <c r="G20" s="11"/>
      <c r="H20" s="11"/>
      <c r="I20" s="7" t="s">
        <v>73</v>
      </c>
      <c r="J20" s="7" t="s">
        <v>74</v>
      </c>
    </row>
    <row r="21" spans="1:10" ht="42.95" customHeight="1">
      <c r="A21" s="8" t="s">
        <v>75</v>
      </c>
      <c r="B21" s="8" t="s">
        <v>71</v>
      </c>
      <c r="C21" s="7" t="s">
        <v>76</v>
      </c>
      <c r="D21" s="7" t="s">
        <v>77</v>
      </c>
      <c r="E21" s="9"/>
      <c r="F21" s="10" t="s">
        <v>126</v>
      </c>
      <c r="G21" s="11"/>
      <c r="H21" s="11"/>
      <c r="I21" s="7" t="s">
        <v>78</v>
      </c>
      <c r="J21" s="7" t="s">
        <v>79</v>
      </c>
    </row>
    <row r="22" spans="1:10" ht="42.95" customHeight="1">
      <c r="A22" s="8" t="s">
        <v>80</v>
      </c>
      <c r="B22" s="8" t="s">
        <v>81</v>
      </c>
      <c r="C22" s="7" t="s">
        <v>82</v>
      </c>
      <c r="D22" s="7" t="s">
        <v>77</v>
      </c>
      <c r="E22" s="9"/>
      <c r="F22" s="10" t="s">
        <v>126</v>
      </c>
      <c r="G22" s="11"/>
      <c r="H22" s="11"/>
      <c r="I22" s="7" t="s">
        <v>83</v>
      </c>
      <c r="J22" s="7" t="s">
        <v>84</v>
      </c>
    </row>
    <row r="23" spans="1:10" ht="42.95" customHeight="1">
      <c r="A23" s="8" t="s">
        <v>85</v>
      </c>
      <c r="B23" s="8" t="s">
        <v>86</v>
      </c>
      <c r="C23" s="7" t="s">
        <v>87</v>
      </c>
      <c r="D23" s="7" t="s">
        <v>88</v>
      </c>
      <c r="E23" s="9"/>
      <c r="F23" s="10" t="s">
        <v>127</v>
      </c>
      <c r="G23" s="11"/>
      <c r="H23" s="11"/>
      <c r="I23" s="7" t="s">
        <v>89</v>
      </c>
      <c r="J23" s="7" t="s">
        <v>90</v>
      </c>
    </row>
    <row r="24" spans="1:10" ht="42.95" customHeight="1">
      <c r="A24" s="8" t="s">
        <v>91</v>
      </c>
      <c r="B24" s="8" t="s">
        <v>45</v>
      </c>
      <c r="C24" s="7" t="s">
        <v>92</v>
      </c>
      <c r="D24" s="7" t="s">
        <v>45</v>
      </c>
      <c r="E24" s="9"/>
      <c r="F24" s="10" t="s">
        <v>126</v>
      </c>
      <c r="G24" s="11"/>
      <c r="H24" s="11"/>
      <c r="I24" s="7" t="s">
        <v>93</v>
      </c>
      <c r="J24" s="7" t="s">
        <v>94</v>
      </c>
    </row>
    <row r="25" spans="1:10" ht="42.95" customHeight="1">
      <c r="A25" s="8" t="s">
        <v>95</v>
      </c>
      <c r="B25" s="8" t="s">
        <v>45</v>
      </c>
      <c r="C25" s="7" t="s">
        <v>96</v>
      </c>
      <c r="D25" s="7" t="s">
        <v>45</v>
      </c>
      <c r="E25" s="9"/>
      <c r="F25" s="10" t="s">
        <v>126</v>
      </c>
      <c r="G25" s="11"/>
      <c r="H25" s="11"/>
      <c r="I25" s="7" t="s">
        <v>97</v>
      </c>
      <c r="J25" s="7" t="s">
        <v>98</v>
      </c>
    </row>
    <row r="26" spans="1:10" ht="42.95" customHeight="1">
      <c r="A26" s="8" t="s">
        <v>99</v>
      </c>
      <c r="B26" s="8" t="s">
        <v>100</v>
      </c>
      <c r="C26" s="7" t="s">
        <v>101</v>
      </c>
      <c r="D26" s="7" t="s">
        <v>102</v>
      </c>
      <c r="E26" s="9"/>
      <c r="F26" s="10" t="s">
        <v>127</v>
      </c>
      <c r="G26" s="11"/>
      <c r="H26" s="11"/>
      <c r="I26" s="7" t="s">
        <v>103</v>
      </c>
      <c r="J26" s="7" t="s">
        <v>104</v>
      </c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15">
      <c r="A28" s="12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3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3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14"/>
    </row>
  </sheetData>
  <conditionalFormatting sqref="F9:F26">
    <cfRule type="containsText" dxfId="1" priority="1" operator="containsText" text="Bloqueado"/>
    <cfRule type="containsText" dxfId="0" priority="2" operator="containsText" text="Completado"/>
  </conditionalFormatting>
  <dataValidations count="1">
    <dataValidation type="list" sqref="F9:F26" xr:uid="{00000000-0002-0000-0000-000000000000}">
      <formula1>"Por confirmar,Por hacer,En curso,En revisión,Bloqueado,Completado"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A93B0"/>
  </sheetPr>
  <dimension ref="A2:E17"/>
  <sheetViews>
    <sheetView showGridLines="0" tabSelected="1" workbookViewId="0">
      <pane ySplit="5" topLeftCell="A6" activePane="bottomLeft" state="frozen"/>
      <selection pane="bottomLeft" activeCell="A3" sqref="A3"/>
    </sheetView>
  </sheetViews>
  <sheetFormatPr baseColWidth="10" defaultColWidth="9" defaultRowHeight="14.25"/>
  <cols>
    <col min="1" max="1" width="15" customWidth="1"/>
    <col min="2" max="2" width="58" customWidth="1"/>
    <col min="3" max="3" width="16" customWidth="1"/>
    <col min="4" max="4" width="24" customWidth="1"/>
    <col min="5" max="5" width="70" customWidth="1"/>
  </cols>
  <sheetData>
    <row r="2" spans="1:5" ht="20.25">
      <c r="A2" s="1" t="s">
        <v>105</v>
      </c>
    </row>
    <row r="3" spans="1:5">
      <c r="A3" s="2"/>
    </row>
    <row r="5" spans="1:5" ht="36" customHeight="1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</row>
    <row r="6" spans="1:5" ht="38.1" customHeight="1">
      <c r="A6" s="17" t="s">
        <v>18</v>
      </c>
      <c r="B6" s="18" t="s">
        <v>111</v>
      </c>
      <c r="C6" s="17" t="s">
        <v>112</v>
      </c>
      <c r="D6" s="19">
        <v>12</v>
      </c>
      <c r="E6" s="18" t="s">
        <v>113</v>
      </c>
    </row>
    <row r="7" spans="1:5" ht="38.1" customHeight="1">
      <c r="A7" s="17" t="s">
        <v>34</v>
      </c>
      <c r="B7" s="18" t="s">
        <v>114</v>
      </c>
      <c r="C7" s="17" t="s">
        <v>112</v>
      </c>
      <c r="D7" s="19">
        <v>16</v>
      </c>
      <c r="E7" s="18" t="s">
        <v>115</v>
      </c>
    </row>
    <row r="8" spans="1:5" ht="38.1" customHeight="1">
      <c r="A8" s="17" t="s">
        <v>49</v>
      </c>
      <c r="B8" s="18" t="s">
        <v>116</v>
      </c>
      <c r="C8" s="17" t="s">
        <v>112</v>
      </c>
      <c r="D8" s="19">
        <v>8</v>
      </c>
      <c r="E8" s="18" t="s">
        <v>117</v>
      </c>
    </row>
    <row r="9" spans="1:5" ht="38.1" customHeight="1">
      <c r="A9" s="17" t="s">
        <v>62</v>
      </c>
      <c r="B9" s="18" t="s">
        <v>118</v>
      </c>
      <c r="C9" s="17" t="s">
        <v>112</v>
      </c>
      <c r="D9" s="19">
        <v>8</v>
      </c>
      <c r="E9" s="18" t="s">
        <v>119</v>
      </c>
    </row>
    <row r="10" spans="1:5" ht="38.1" customHeight="1">
      <c r="A10" s="17" t="s">
        <v>71</v>
      </c>
      <c r="B10" s="18" t="s">
        <v>120</v>
      </c>
      <c r="C10" s="17" t="s">
        <v>112</v>
      </c>
      <c r="D10" s="19">
        <v>8</v>
      </c>
      <c r="E10" s="18" t="s">
        <v>121</v>
      </c>
    </row>
    <row r="11" spans="1:5" ht="38.1" customHeight="1">
      <c r="A11" s="17" t="s">
        <v>81</v>
      </c>
      <c r="B11" s="18" t="s">
        <v>122</v>
      </c>
      <c r="C11" s="17" t="s">
        <v>123</v>
      </c>
      <c r="D11" s="19">
        <v>4</v>
      </c>
      <c r="E11" s="18" t="s">
        <v>124</v>
      </c>
    </row>
    <row r="13" spans="1:5">
      <c r="B13" s="20" t="s">
        <v>125</v>
      </c>
      <c r="C13" s="20"/>
      <c r="D13" s="20">
        <f>SUM(D6:D11)</f>
        <v>56</v>
      </c>
    </row>
    <row r="15" spans="1:5">
      <c r="A15" s="14"/>
    </row>
    <row r="16" spans="1:5">
      <c r="A16" s="14"/>
    </row>
    <row r="17" spans="1:1">
      <c r="A17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 Backlog 2</vt:lpstr>
      <vt:lpstr>HU de 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 TaKen</cp:lastModifiedBy>
  <dcterms:modified xsi:type="dcterms:W3CDTF">2026-10-19T12:46:22Z</dcterms:modified>
</cp:coreProperties>
</file>