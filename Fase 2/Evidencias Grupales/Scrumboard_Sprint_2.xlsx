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b680ed20cb65f7b/Documentos/Capstone/Fase2/Archivos Listos/"/>
    </mc:Choice>
  </mc:AlternateContent>
  <xr:revisionPtr revIDLastSave="30" documentId="11_112936117FF8B887A70F37B416BEDF70F13D15B5" xr6:coauthVersionLast="47" xr6:coauthVersionMax="47" xr10:uidLastSave="{0262727A-2709-4699-B4EF-EB2EB0BFF10C}"/>
  <bookViews>
    <workbookView xWindow="-120" yWindow="-120" windowWidth="29040" windowHeight="16440" xr2:uid="{00000000-000D-0000-FFFF-FFFF00000000}"/>
  </bookViews>
  <sheets>
    <sheet name="Scrumboard" sheetId="1" r:id="rId1"/>
    <sheet name="Registr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2" l="1"/>
  <c r="G23" i="2"/>
  <c r="H23" i="2" s="1"/>
  <c r="I22" i="2"/>
  <c r="G22" i="2"/>
  <c r="H22" i="2" s="1"/>
  <c r="I21" i="2"/>
  <c r="G21" i="2"/>
  <c r="H21" i="2" s="1"/>
  <c r="I20" i="2"/>
  <c r="B22" i="1" s="1"/>
  <c r="G20" i="2"/>
  <c r="H20" i="2" s="1"/>
  <c r="I19" i="2"/>
  <c r="B21" i="1" s="1"/>
  <c r="G19" i="2"/>
  <c r="H19" i="2" s="1"/>
  <c r="I18" i="2"/>
  <c r="B20" i="1" s="1"/>
  <c r="G18" i="2"/>
  <c r="H18" i="2" s="1"/>
  <c r="I17" i="2"/>
  <c r="B19" i="1" s="1"/>
  <c r="G17" i="2"/>
  <c r="H17" i="2" s="1"/>
  <c r="I16" i="2"/>
  <c r="B18" i="1" s="1"/>
  <c r="G16" i="2"/>
  <c r="H16" i="2" s="1"/>
  <c r="I15" i="2"/>
  <c r="B17" i="1" s="1"/>
  <c r="G15" i="2"/>
  <c r="H15" i="2" s="1"/>
  <c r="I14" i="2"/>
  <c r="B16" i="1" s="1"/>
  <c r="G14" i="2"/>
  <c r="H14" i="2" s="1"/>
  <c r="I13" i="2"/>
  <c r="B15" i="1" s="1"/>
  <c r="G13" i="2"/>
  <c r="H13" i="2" s="1"/>
  <c r="I12" i="2"/>
  <c r="B14" i="1" s="1"/>
  <c r="G12" i="2"/>
  <c r="H12" i="2" s="1"/>
  <c r="I11" i="2"/>
  <c r="B13" i="1" s="1"/>
  <c r="G11" i="2"/>
  <c r="H11" i="2" s="1"/>
  <c r="I10" i="2"/>
  <c r="B12" i="1" s="1"/>
  <c r="G10" i="2"/>
  <c r="H10" i="2" s="1"/>
  <c r="I9" i="2"/>
  <c r="B11" i="1" s="1"/>
  <c r="G9" i="2"/>
  <c r="H9" i="2" s="1"/>
  <c r="I8" i="2"/>
  <c r="B10" i="1" s="1"/>
  <c r="G8" i="2"/>
  <c r="H8" i="2" s="1"/>
  <c r="I7" i="2"/>
  <c r="B9" i="1" s="1"/>
  <c r="G7" i="2"/>
  <c r="H7" i="2" s="1"/>
  <c r="I6" i="2"/>
  <c r="B8" i="1" s="1"/>
  <c r="G6" i="2"/>
  <c r="H6" i="2" s="1"/>
  <c r="H25" i="1"/>
  <c r="G25" i="1"/>
  <c r="F25" i="1"/>
  <c r="E25" i="1"/>
  <c r="D25" i="1"/>
  <c r="C25" i="1"/>
  <c r="B25" i="1"/>
  <c r="H24" i="1"/>
  <c r="G24" i="1"/>
  <c r="F24" i="1"/>
  <c r="E24" i="1"/>
  <c r="D24" i="1"/>
  <c r="C24" i="1"/>
  <c r="B2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H21" i="1"/>
  <c r="G21" i="1"/>
  <c r="F21" i="1"/>
  <c r="E21" i="1"/>
  <c r="D21" i="1"/>
  <c r="C21" i="1"/>
  <c r="H20" i="1"/>
  <c r="G20" i="1"/>
  <c r="F20" i="1"/>
  <c r="E20" i="1"/>
  <c r="D20" i="1"/>
  <c r="C20" i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D12" i="1"/>
  <c r="C12" i="1"/>
  <c r="H11" i="1"/>
  <c r="G11" i="1"/>
  <c r="F11" i="1"/>
  <c r="E11" i="1"/>
  <c r="D11" i="1"/>
  <c r="C11" i="1"/>
  <c r="H10" i="1"/>
  <c r="G10" i="1"/>
  <c r="F10" i="1"/>
  <c r="E10" i="1"/>
  <c r="D10" i="1"/>
  <c r="C10" i="1"/>
  <c r="H9" i="1"/>
  <c r="G9" i="1"/>
  <c r="F9" i="1"/>
  <c r="E9" i="1"/>
  <c r="D9" i="1"/>
  <c r="C9" i="1"/>
  <c r="H8" i="1"/>
  <c r="G8" i="1"/>
  <c r="F8" i="1"/>
  <c r="E8" i="1"/>
  <c r="D8" i="1"/>
  <c r="C8" i="1"/>
  <c r="H6" i="1"/>
  <c r="G6" i="1"/>
  <c r="F6" i="1"/>
  <c r="E6" i="1"/>
  <c r="D6" i="1"/>
  <c r="C6" i="1"/>
  <c r="B6" i="1"/>
</calcChain>
</file>

<file path=xl/sharedStrings.xml><?xml version="1.0" encoding="utf-8"?>
<sst xmlns="http://schemas.openxmlformats.org/spreadsheetml/2006/main" count="148" uniqueCount="110">
  <si>
    <t>Scrumboard Sprint 2</t>
  </si>
  <si>
    <t>Tarea n.º</t>
  </si>
  <si>
    <t>Por confirmar</t>
  </si>
  <si>
    <t>Por hacer</t>
  </si>
  <si>
    <t>En curso</t>
  </si>
  <si>
    <t>En revisión</t>
  </si>
  <si>
    <t>Completado</t>
  </si>
  <si>
    <t>Finalizado</t>
  </si>
  <si>
    <t>Bloqueado</t>
  </si>
  <si>
    <t>Tareas</t>
  </si>
  <si>
    <t>Registro de tareas del Scrumboard 2</t>
  </si>
  <si>
    <t>ID interno</t>
  </si>
  <si>
    <t>HU</t>
  </si>
  <si>
    <t>Actividad</t>
  </si>
  <si>
    <t>Área sugerida</t>
  </si>
  <si>
    <t>Responsable</t>
  </si>
  <si>
    <t>Estado</t>
  </si>
  <si>
    <t>N.º en estado</t>
  </si>
  <si>
    <t>Clave</t>
  </si>
  <si>
    <t>Tarjeta dinámica</t>
  </si>
  <si>
    <t>Criterio de cierre</t>
  </si>
  <si>
    <t>Evidencia anterior</t>
  </si>
  <si>
    <t>SB2-01</t>
  </si>
  <si>
    <t>US-01</t>
  </si>
  <si>
    <t>Conectar la pantalla administrativa de vehículos con la API</t>
  </si>
  <si>
    <t>Frontend</t>
  </si>
  <si>
    <t>Crear, editar y desactivar vehículos por sede</t>
  </si>
  <si>
    <t>La copia contiene rutas /api/vehiculos</t>
  </si>
  <si>
    <t>SB2-02</t>
  </si>
  <si>
    <t>Validar asignación de recursos a Macul o Peñalolén</t>
  </si>
  <si>
    <t>Backend / QA</t>
  </si>
  <si>
    <t>Datos por sede consistentes y sin duplicidades</t>
  </si>
  <si>
    <t>La API permite consultar vehículos por sede</t>
  </si>
  <si>
    <t>SB2-03</t>
  </si>
  <si>
    <t>Integrar gestión de instructores con el módulo de flota</t>
  </si>
  <si>
    <t>Full stack</t>
  </si>
  <si>
    <t>Recursos humanos disponibles para planificación</t>
  </si>
  <si>
    <t>Hay rutas de usuarios y sedes; interfaz por verificar</t>
  </si>
  <si>
    <t>SB2-04</t>
  </si>
  <si>
    <t>US-02</t>
  </si>
  <si>
    <t>Implementar formulario administrativo de bloqueos</t>
  </si>
  <si>
    <t>Seleccionar fecha, horario, vehículo e instructor</t>
  </si>
  <si>
    <t>La vista AgendamientoAdmin muestra «Próximamente»</t>
  </si>
  <si>
    <t>SB2-05</t>
  </si>
  <si>
    <t>Aplicar bloqueos en disponibilidad y agendamiento</t>
  </si>
  <si>
    <t>Backend</t>
  </si>
  <si>
    <t>No permitir reservas en recursos bloqueados</t>
  </si>
  <si>
    <t>La copia contiene servicios de bloqueos y clases</t>
  </si>
  <si>
    <t>SB2-06</t>
  </si>
  <si>
    <t>Verificar un bloqueo y sus efectos en la agenda</t>
  </si>
  <si>
    <t>QA</t>
  </si>
  <si>
    <t>Evidencia de recurso bloqueado y reducción de disponibilidad</t>
  </si>
  <si>
    <t>Caso propuesto; no consta una ejecución validada</t>
  </si>
  <si>
    <t>SB2-07</t>
  </si>
  <si>
    <t>US-03</t>
  </si>
  <si>
    <t>Conectar inicio de sesión con /api/usuarios/login</t>
  </si>
  <si>
    <t>Credenciales válidas e inválidas tratadas correctamente</t>
  </si>
  <si>
    <t>Formulario actual solo evita el envío</t>
  </si>
  <si>
    <t>SB2-08</t>
  </si>
  <si>
    <t>Proteger rutas según rol y revisar seguridad de acceso</t>
  </si>
  <si>
    <t>Acceso privado y restricciones por usuario</t>
  </si>
  <si>
    <t>No se observó middleware RBAC en la copia</t>
  </si>
  <si>
    <t>SB2-09</t>
  </si>
  <si>
    <t>Mostrar la Tarjeta Web y progreso del alumno</t>
  </si>
  <si>
    <t>Alumno visualiza solo su propio avance</t>
  </si>
  <si>
    <t>DashboardAlumno muestra «Próximamente»</t>
  </si>
  <si>
    <t>SB2-10</t>
  </si>
  <si>
    <t>US-04</t>
  </si>
  <si>
    <t>Construir agenda diaria del instructor</t>
  </si>
  <si>
    <t>Mostrar clases del día con estudiante y vehículo</t>
  </si>
  <si>
    <t>PanelInstructor muestra «Próximamente»</t>
  </si>
  <si>
    <t>SB2-11</t>
  </si>
  <si>
    <t>Consultar clases desde backend por instructor</t>
  </si>
  <si>
    <t>Agenda refleja datos reales y estados vacíos</t>
  </si>
  <si>
    <t>La API de clases está presente; integración pendiente</t>
  </si>
  <si>
    <t>SB2-12</t>
  </si>
  <si>
    <t>US-06</t>
  </si>
  <si>
    <t>Mostrar disponibilidad de vehículos por bloque</t>
  </si>
  <si>
    <t>Disponibilidad actualizada según sede y horario</t>
  </si>
  <si>
    <t>Existe GET de vehículos disponibles</t>
  </si>
  <si>
    <t>SB2-13</t>
  </si>
  <si>
    <t>Mostrar advertencias de bloqueos o conflictos</t>
  </si>
  <si>
    <t>Frontend / QA</t>
  </si>
  <si>
    <t>Bloques no disponibles señalizados sin ambigüedad</t>
  </si>
  <si>
    <t>Pantalla de disponibilidad pendiente en copia</t>
  </si>
  <si>
    <t>SB2-14</t>
  </si>
  <si>
    <t>US-10</t>
  </si>
  <si>
    <t>Revisar catálogo, requisitos y datos de sucursales</t>
  </si>
  <si>
    <t>Información visible según criterios de la HU</t>
  </si>
  <si>
    <t>Portada pública contiene cursos y sedes; tarifas por validar</t>
  </si>
  <si>
    <t>SB2-15</t>
  </si>
  <si>
    <t>Soporte</t>
  </si>
  <si>
    <t>Alinear esquema SQL y configuración de base de datos</t>
  </si>
  <si>
    <t>Backend / Infra</t>
  </si>
  <si>
    <t>Entorno reproducible con datos de prueba</t>
  </si>
  <si>
    <t>Backend usa MySQL; Docker declara PostgreSQL</t>
  </si>
  <si>
    <t>SB2-16</t>
  </si>
  <si>
    <t>Preparar y ejecutar pruebas del alcance confirmado</t>
  </si>
  <si>
    <t>Casos con fecha, resultado, evidencia y responsable</t>
  </si>
  <si>
    <t>El Plan QA Sprint 1 incluía seis casos planificados</t>
  </si>
  <si>
    <t>SB2-17</t>
  </si>
  <si>
    <t>Registrar defectos e informar retests</t>
  </si>
  <si>
    <t>Cada defecto vincula HU, pasos y corrección</t>
  </si>
  <si>
    <t>No se recuperó registro de ejecución en la copia</t>
  </si>
  <si>
    <t>SB2-18</t>
  </si>
  <si>
    <t>Gestión</t>
  </si>
  <si>
    <t>Actualizar estados del tablero y enlaces de evidencia</t>
  </si>
  <si>
    <t>Equipo</t>
  </si>
  <si>
    <t>Tareas y commits trazables para la evaluación</t>
  </si>
  <si>
    <t>La captura Jira pertenece a un estado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</si>
</sst>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000000"/>
      <name val="Arial"/>
    </font>
    <font>
      <i/>
      <sz val="10"/>
      <color rgb="FF5E6C7B"/>
      <name val="Arial"/>
    </font>
    <font>
      <b/>
      <sz val="10"/>
      <color rgb="FFFFFFFF"/>
      <name val="Arial"/>
    </font>
    <font>
      <sz val="10"/>
      <color rgb="FF25303A"/>
      <name val="Arial"/>
    </font>
    <font>
      <b/>
      <sz val="11"/>
      <color rgb="FF1E4263"/>
      <name val="Arial"/>
    </font>
    <font>
      <sz val="10"/>
      <color rgb="FF5E6C7B"/>
      <name val="Arial"/>
    </font>
  </fonts>
  <fills count="20">
    <fill>
      <patternFill patternType="none"/>
    </fill>
    <fill>
      <patternFill patternType="gray125"/>
    </fill>
    <fill>
      <patternFill patternType="solid">
        <fgColor rgb="FF1E4263"/>
      </patternFill>
    </fill>
    <fill>
      <patternFill patternType="solid">
        <fgColor rgb="FFFFF0CC"/>
      </patternFill>
    </fill>
    <fill>
      <patternFill patternType="solid">
        <fgColor rgb="FFEDF0F3"/>
      </patternFill>
    </fill>
    <fill>
      <patternFill patternType="solid">
        <fgColor rgb="FFF7F9FB"/>
      </patternFill>
    </fill>
    <fill>
      <patternFill patternType="solid">
        <fgColor rgb="FF586676"/>
      </patternFill>
    </fill>
    <fill>
      <patternFill patternType="solid">
        <fgColor rgb="FFEFF2F5"/>
      </patternFill>
    </fill>
    <fill>
      <patternFill patternType="solid">
        <fgColor rgb="FF586E84"/>
      </patternFill>
    </fill>
    <fill>
      <patternFill patternType="solid">
        <fgColor rgb="FFEDF2F8"/>
      </patternFill>
    </fill>
    <fill>
      <patternFill patternType="solid">
        <fgColor rgb="FF266A9D"/>
      </patternFill>
    </fill>
    <fill>
      <patternFill patternType="solid">
        <fgColor rgb="FFE8F3FC"/>
      </patternFill>
    </fill>
    <fill>
      <patternFill patternType="solid">
        <fgColor rgb="FFA56C19"/>
      </patternFill>
    </fill>
    <fill>
      <patternFill patternType="solid">
        <fgColor rgb="FFFFF4DD"/>
      </patternFill>
    </fill>
    <fill>
      <patternFill patternType="solid">
        <fgColor rgb="FF317953"/>
      </patternFill>
    </fill>
    <fill>
      <patternFill patternType="solid">
        <fgColor rgb="FFECF7EF"/>
      </patternFill>
    </fill>
    <fill>
      <patternFill patternType="solid">
        <fgColor rgb="FF176442"/>
      </patternFill>
    </fill>
    <fill>
      <patternFill patternType="solid">
        <fgColor rgb="FFDDEEE4"/>
      </patternFill>
    </fill>
    <fill>
      <patternFill patternType="solid">
        <fgColor rgb="FFA03D45"/>
      </patternFill>
    </fill>
    <fill>
      <patternFill patternType="solid">
        <fgColor rgb="FFFFF0F0"/>
      </patternFill>
    </fill>
  </fills>
  <borders count="10">
    <border>
      <left/>
      <right/>
      <top/>
      <bottom/>
      <diagonal/>
    </border>
    <border>
      <left/>
      <right style="thin">
        <color rgb="FFFFFFFF"/>
      </right>
      <top/>
      <bottom style="thin">
        <color rgb="FFE0E5EA"/>
      </bottom>
      <diagonal/>
    </border>
    <border>
      <left style="thin">
        <color rgb="FFFFFFFF"/>
      </left>
      <right style="thin">
        <color rgb="FFFFFFFF"/>
      </right>
      <top/>
      <bottom style="thin">
        <color rgb="FFE0E5EA"/>
      </bottom>
      <diagonal/>
    </border>
    <border>
      <left style="thin">
        <color rgb="FFFFFFFF"/>
      </left>
      <right/>
      <top/>
      <bottom style="thin">
        <color rgb="FFE0E5EA"/>
      </bottom>
      <diagonal/>
    </border>
    <border>
      <left/>
      <right style="thin">
        <color rgb="FFFFFFFF"/>
      </right>
      <top style="thin">
        <color rgb="FFE0E5EA"/>
      </top>
      <bottom style="thin">
        <color rgb="FFE0E5EA"/>
      </bottom>
      <diagonal/>
    </border>
    <border>
      <left style="thin">
        <color rgb="FFFFFFFF"/>
      </left>
      <right style="thin">
        <color rgb="FFFFFFFF"/>
      </right>
      <top style="thin">
        <color rgb="FFE0E5EA"/>
      </top>
      <bottom style="thin">
        <color rgb="FFE0E5EA"/>
      </bottom>
      <diagonal/>
    </border>
    <border>
      <left style="thin">
        <color rgb="FFFFFFFF"/>
      </left>
      <right/>
      <top style="thin">
        <color rgb="FFE0E5EA"/>
      </top>
      <bottom style="thin">
        <color rgb="FFE0E5EA"/>
      </bottom>
      <diagonal/>
    </border>
    <border>
      <left/>
      <right style="thin">
        <color rgb="FFFFFFFF"/>
      </right>
      <top style="thin">
        <color rgb="FFE0E5EA"/>
      </top>
      <bottom/>
      <diagonal/>
    </border>
    <border>
      <left style="thin">
        <color rgb="FFFFFFFF"/>
      </left>
      <right style="thin">
        <color rgb="FFFFFFFF"/>
      </right>
      <top style="thin">
        <color rgb="FFE0E5EA"/>
      </top>
      <bottom/>
      <diagonal/>
    </border>
    <border>
      <left style="thin">
        <color rgb="FFFFFFFF"/>
      </left>
      <right/>
      <top style="thin">
        <color rgb="FFE0E5EA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3" borderId="0" xfId="0" applyFont="1" applyFill="1"/>
    <xf numFmtId="0" fontId="4" fillId="4" borderId="0" xfId="0" applyFont="1" applyFill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4" fillId="7" borderId="2" xfId="0" applyFont="1" applyFill="1" applyBorder="1" applyAlignment="1">
      <alignment vertical="center" wrapText="1"/>
    </xf>
    <xf numFmtId="0" fontId="4" fillId="7" borderId="5" xfId="0" applyFont="1" applyFill="1" applyBorder="1" applyAlignment="1">
      <alignment vertical="center" wrapText="1"/>
    </xf>
    <xf numFmtId="0" fontId="4" fillId="7" borderId="8" xfId="0" applyFont="1" applyFill="1" applyBorder="1" applyAlignment="1">
      <alignment vertical="center" wrapText="1"/>
    </xf>
    <xf numFmtId="0" fontId="3" fillId="8" borderId="0" xfId="0" applyFont="1" applyFill="1" applyAlignment="1">
      <alignment horizontal="center"/>
    </xf>
    <xf numFmtId="0" fontId="4" fillId="9" borderId="2" xfId="0" applyFont="1" applyFill="1" applyBorder="1" applyAlignment="1">
      <alignment vertical="center" wrapText="1"/>
    </xf>
    <xf numFmtId="0" fontId="4" fillId="9" borderId="5" xfId="0" applyFont="1" applyFill="1" applyBorder="1" applyAlignment="1">
      <alignment vertical="center" wrapText="1"/>
    </xf>
    <xf numFmtId="0" fontId="4" fillId="9" borderId="8" xfId="0" applyFont="1" applyFill="1" applyBorder="1" applyAlignment="1">
      <alignment vertical="center" wrapText="1"/>
    </xf>
    <xf numFmtId="0" fontId="3" fillId="10" borderId="0" xfId="0" applyFont="1" applyFill="1" applyAlignment="1">
      <alignment horizontal="center"/>
    </xf>
    <xf numFmtId="0" fontId="4" fillId="11" borderId="2" xfId="0" applyFont="1" applyFill="1" applyBorder="1" applyAlignment="1">
      <alignment vertical="center" wrapText="1"/>
    </xf>
    <xf numFmtId="0" fontId="4" fillId="11" borderId="5" xfId="0" applyFont="1" applyFill="1" applyBorder="1" applyAlignment="1">
      <alignment vertical="center" wrapText="1"/>
    </xf>
    <xf numFmtId="0" fontId="4" fillId="11" borderId="8" xfId="0" applyFont="1" applyFill="1" applyBorder="1" applyAlignment="1">
      <alignment vertical="center" wrapText="1"/>
    </xf>
    <xf numFmtId="0" fontId="3" fillId="12" borderId="0" xfId="0" applyFont="1" applyFill="1" applyAlignment="1">
      <alignment horizontal="center"/>
    </xf>
    <xf numFmtId="0" fontId="4" fillId="13" borderId="2" xfId="0" applyFont="1" applyFill="1" applyBorder="1" applyAlignment="1">
      <alignment vertical="center" wrapText="1"/>
    </xf>
    <xf numFmtId="0" fontId="4" fillId="13" borderId="5" xfId="0" applyFont="1" applyFill="1" applyBorder="1" applyAlignment="1">
      <alignment vertical="center" wrapText="1"/>
    </xf>
    <xf numFmtId="0" fontId="4" fillId="13" borderId="8" xfId="0" applyFont="1" applyFill="1" applyBorder="1" applyAlignment="1">
      <alignment vertical="center" wrapText="1"/>
    </xf>
    <xf numFmtId="0" fontId="3" fillId="14" borderId="0" xfId="0" applyFont="1" applyFill="1" applyAlignment="1">
      <alignment horizontal="center"/>
    </xf>
    <xf numFmtId="0" fontId="4" fillId="15" borderId="2" xfId="0" applyFont="1" applyFill="1" applyBorder="1" applyAlignment="1">
      <alignment vertical="center" wrapText="1"/>
    </xf>
    <xf numFmtId="0" fontId="4" fillId="15" borderId="5" xfId="0" applyFont="1" applyFill="1" applyBorder="1" applyAlignment="1">
      <alignment vertical="center" wrapText="1"/>
    </xf>
    <xf numFmtId="0" fontId="4" fillId="15" borderId="8" xfId="0" applyFont="1" applyFill="1" applyBorder="1" applyAlignment="1">
      <alignment vertical="center" wrapText="1"/>
    </xf>
    <xf numFmtId="0" fontId="3" fillId="16" borderId="0" xfId="0" applyFont="1" applyFill="1" applyAlignment="1">
      <alignment horizontal="center"/>
    </xf>
    <xf numFmtId="0" fontId="4" fillId="17" borderId="2" xfId="0" applyFont="1" applyFill="1" applyBorder="1" applyAlignment="1">
      <alignment vertical="center" wrapText="1"/>
    </xf>
    <xf numFmtId="0" fontId="4" fillId="17" borderId="5" xfId="0" applyFont="1" applyFill="1" applyBorder="1" applyAlignment="1">
      <alignment vertical="center" wrapText="1"/>
    </xf>
    <xf numFmtId="0" fontId="4" fillId="17" borderId="8" xfId="0" applyFont="1" applyFill="1" applyBorder="1" applyAlignment="1">
      <alignment vertical="center" wrapText="1"/>
    </xf>
    <xf numFmtId="0" fontId="3" fillId="18" borderId="0" xfId="0" applyFont="1" applyFill="1" applyAlignment="1">
      <alignment horizontal="center"/>
    </xf>
    <xf numFmtId="0" fontId="4" fillId="19" borderId="3" xfId="0" applyFont="1" applyFill="1" applyBorder="1" applyAlignment="1">
      <alignment vertical="center" wrapText="1"/>
    </xf>
    <xf numFmtId="0" fontId="4" fillId="19" borderId="6" xfId="0" applyFont="1" applyFill="1" applyBorder="1" applyAlignment="1">
      <alignment vertical="center" wrapText="1"/>
    </xf>
    <xf numFmtId="0" fontId="4" fillId="19" borderId="9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166534"/>
      </font>
      <fill>
        <patternFill patternType="solid">
          <bgColor rgb="FFD9F8E4"/>
        </patternFill>
      </fill>
    </dxf>
    <dxf>
      <font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rumboardRegistry" displayName="ScrumboardRegistry" ref="A5:K23" totalsRowShown="0">
  <autoFilter ref="A5:K23" xr:uid="{00000000-0009-0000-0100-000001000000}"/>
  <tableColumns count="11">
    <tableColumn id="1" xr3:uid="{00000000-0010-0000-0000-000001000000}" name="ID interno"/>
    <tableColumn id="2" xr3:uid="{00000000-0010-0000-0000-000002000000}" name="HU"/>
    <tableColumn id="3" xr3:uid="{00000000-0010-0000-0000-000003000000}" name="Actividad"/>
    <tableColumn id="4" xr3:uid="{00000000-0010-0000-0000-000004000000}" name="Área sugerida"/>
    <tableColumn id="5" xr3:uid="{00000000-0010-0000-0000-000005000000}" name="Responsable"/>
    <tableColumn id="6" xr3:uid="{00000000-0010-0000-0000-000006000000}" name="Estado"/>
    <tableColumn id="7" xr3:uid="{00000000-0010-0000-0000-000007000000}" name="N.º en estado"/>
    <tableColumn id="8" xr3:uid="{00000000-0010-0000-0000-000008000000}" name="Clave"/>
    <tableColumn id="9" xr3:uid="{00000000-0010-0000-0000-000009000000}" name="Tarjeta dinámica"/>
    <tableColumn id="10" xr3:uid="{00000000-0010-0000-0000-00000A000000}" name="Criterio de cierre"/>
    <tableColumn id="11" xr3:uid="{00000000-0010-0000-0000-00000B000000}" name="Evidencia anteri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4263"/>
  </sheetPr>
  <dimension ref="A2:H29"/>
  <sheetViews>
    <sheetView showGridLines="0" tabSelected="1" workbookViewId="0">
      <pane ySplit="6" topLeftCell="A7" activePane="bottomLeft" state="frozen"/>
      <selection pane="bottomLeft" activeCell="B32" sqref="B32"/>
    </sheetView>
  </sheetViews>
  <sheetFormatPr baseColWidth="10" defaultColWidth="9" defaultRowHeight="14.25"/>
  <cols>
    <col min="1" max="1" width="12" customWidth="1"/>
    <col min="2" max="8" width="39" customWidth="1"/>
  </cols>
  <sheetData>
    <row r="2" spans="1:8" ht="20.25">
      <c r="A2" s="1" t="s">
        <v>0</v>
      </c>
    </row>
    <row r="3" spans="1:8">
      <c r="A3" s="2"/>
    </row>
    <row r="5" spans="1:8" ht="33" customHeight="1">
      <c r="A5" s="3" t="s">
        <v>1</v>
      </c>
      <c r="B5" s="14" t="s">
        <v>2</v>
      </c>
      <c r="C5" s="18" t="s">
        <v>3</v>
      </c>
      <c r="D5" s="22" t="s">
        <v>4</v>
      </c>
      <c r="E5" s="26" t="s">
        <v>5</v>
      </c>
      <c r="F5" s="30" t="s">
        <v>6</v>
      </c>
      <c r="G5" s="34" t="s">
        <v>7</v>
      </c>
      <c r="H5" s="38" t="s">
        <v>8</v>
      </c>
    </row>
    <row r="6" spans="1:8" ht="30.95" customHeight="1">
      <c r="A6" s="8" t="s">
        <v>9</v>
      </c>
      <c r="B6" s="10">
        <f>COUNTIFS(Registro!$F$6:$F$23,B5)</f>
        <v>0</v>
      </c>
      <c r="C6" s="10">
        <f>COUNTIFS(Registro!$F$6:$F$23,C5)</f>
        <v>2</v>
      </c>
      <c r="D6" s="10">
        <f>COUNTIFS(Registro!$F$6:$F$23,D5)</f>
        <v>10</v>
      </c>
      <c r="E6" s="10">
        <f>COUNTIFS(Registro!$F$6:$F$23,E5)</f>
        <v>0</v>
      </c>
      <c r="F6" s="10">
        <f>COUNTIFS(Registro!$F$6:$F$23,F5)</f>
        <v>6</v>
      </c>
      <c r="G6" s="10">
        <f>COUNTIFS(Registro!$F$6:$F$23,G5)</f>
        <v>0</v>
      </c>
      <c r="H6" s="10">
        <f>COUNTIFS(Registro!$F$6:$F$23,H5)</f>
        <v>0</v>
      </c>
    </row>
    <row r="8" spans="1:8" ht="69" customHeight="1">
      <c r="A8" s="11">
        <v>1</v>
      </c>
      <c r="B8" s="15" t="str">
        <f>IF(Registro!$F6=B$5,Registro!$I6,"")</f>
        <v/>
      </c>
      <c r="C8" s="19" t="str">
        <f>IF(Registro!$F6=C$5,Registro!$I6,"")</f>
        <v/>
      </c>
      <c r="D8" s="23" t="str">
        <f>IF(Registro!$F6=D$5,Registro!$I6,"")</f>
        <v/>
      </c>
      <c r="E8" s="27" t="str">
        <f>IF(Registro!$F6=E$5,Registro!$I6,"")</f>
        <v/>
      </c>
      <c r="F8" s="31" t="str">
        <f>IF(Registro!$F6=F$5,Registro!$I6,"")</f>
        <v>SB2-01  US-01  Conectar la pantalla administrativa de vehículos con la API</v>
      </c>
      <c r="G8" s="35" t="str">
        <f>IF(Registro!$F6=G$5,Registro!$I6,"")</f>
        <v/>
      </c>
      <c r="H8" s="39" t="str">
        <f>IF(Registro!$F6=H$5,Registro!$I6,"")</f>
        <v/>
      </c>
    </row>
    <row r="9" spans="1:8" ht="69" customHeight="1">
      <c r="A9" s="12">
        <v>2</v>
      </c>
      <c r="B9" s="16" t="str">
        <f>IF(Registro!$F7=B$5,Registro!$I7,"")</f>
        <v/>
      </c>
      <c r="C9" s="20" t="str">
        <f>IF(Registro!$F7=C$5,Registro!$I7,"")</f>
        <v/>
      </c>
      <c r="D9" s="24" t="str">
        <f>IF(Registro!$F7=D$5,Registro!$I7,"")</f>
        <v>SB2-02  US-01  Validar asignación de recursos a Macul o Peñalolén</v>
      </c>
      <c r="E9" s="28" t="str">
        <f>IF(Registro!$F7=E$5,Registro!$I7,"")</f>
        <v/>
      </c>
      <c r="F9" s="32" t="str">
        <f>IF(Registro!$F7=F$5,Registro!$I7,"")</f>
        <v/>
      </c>
      <c r="G9" s="36" t="str">
        <f>IF(Registro!$F7=G$5,Registro!$I7,"")</f>
        <v/>
      </c>
      <c r="H9" s="40" t="str">
        <f>IF(Registro!$F7=H$5,Registro!$I7,"")</f>
        <v/>
      </c>
    </row>
    <row r="10" spans="1:8" ht="69" customHeight="1">
      <c r="A10" s="12">
        <v>3</v>
      </c>
      <c r="B10" s="16" t="str">
        <f>IF(Registro!$F8=B$5,Registro!$I8,"")</f>
        <v/>
      </c>
      <c r="C10" s="20" t="str">
        <f>IF(Registro!$F8=C$5,Registro!$I8,"")</f>
        <v/>
      </c>
      <c r="D10" s="24" t="str">
        <f>IF(Registro!$F8=D$5,Registro!$I8,"")</f>
        <v>SB2-03  US-01  Integrar gestión de instructores con el módulo de flota</v>
      </c>
      <c r="E10" s="28" t="str">
        <f>IF(Registro!$F8=E$5,Registro!$I8,"")</f>
        <v/>
      </c>
      <c r="F10" s="32" t="str">
        <f>IF(Registro!$F8=F$5,Registro!$I8,"")</f>
        <v/>
      </c>
      <c r="G10" s="36" t="str">
        <f>IF(Registro!$F8=G$5,Registro!$I8,"")</f>
        <v/>
      </c>
      <c r="H10" s="40" t="str">
        <f>IF(Registro!$F8=H$5,Registro!$I8,"")</f>
        <v/>
      </c>
    </row>
    <row r="11" spans="1:8" ht="69" customHeight="1">
      <c r="A11" s="12">
        <v>4</v>
      </c>
      <c r="B11" s="16" t="str">
        <f>IF(Registro!$F9=B$5,Registro!$I9,"")</f>
        <v/>
      </c>
      <c r="C11" s="20" t="str">
        <f>IF(Registro!$F9=C$5,Registro!$I9,"")</f>
        <v/>
      </c>
      <c r="D11" s="24" t="str">
        <f>IF(Registro!$F9=D$5,Registro!$I9,"")</f>
        <v>SB2-04  US-02  Implementar formulario administrativo de bloqueos</v>
      </c>
      <c r="E11" s="28" t="str">
        <f>IF(Registro!$F9=E$5,Registro!$I9,"")</f>
        <v/>
      </c>
      <c r="F11" s="32" t="str">
        <f>IF(Registro!$F9=F$5,Registro!$I9,"")</f>
        <v/>
      </c>
      <c r="G11" s="36" t="str">
        <f>IF(Registro!$F9=G$5,Registro!$I9,"")</f>
        <v/>
      </c>
      <c r="H11" s="40" t="str">
        <f>IF(Registro!$F9=H$5,Registro!$I9,"")</f>
        <v/>
      </c>
    </row>
    <row r="12" spans="1:8" ht="69" customHeight="1">
      <c r="A12" s="12">
        <v>5</v>
      </c>
      <c r="B12" s="16" t="str">
        <f>IF(Registro!$F10=B$5,Registro!$I10,"")</f>
        <v/>
      </c>
      <c r="C12" s="20" t="str">
        <f>IF(Registro!$F10=C$5,Registro!$I10,"")</f>
        <v/>
      </c>
      <c r="D12" s="24" t="str">
        <f>IF(Registro!$F10=D$5,Registro!$I10,"")</f>
        <v/>
      </c>
      <c r="E12" s="28" t="str">
        <f>IF(Registro!$F10=E$5,Registro!$I10,"")</f>
        <v/>
      </c>
      <c r="F12" s="32" t="str">
        <f>IF(Registro!$F10=F$5,Registro!$I10,"")</f>
        <v>SB2-05  US-02  Aplicar bloqueos en disponibilidad y agendamiento</v>
      </c>
      <c r="G12" s="36" t="str">
        <f>IF(Registro!$F10=G$5,Registro!$I10,"")</f>
        <v/>
      </c>
      <c r="H12" s="40" t="str">
        <f>IF(Registro!$F10=H$5,Registro!$I10,"")</f>
        <v/>
      </c>
    </row>
    <row r="13" spans="1:8" ht="69" customHeight="1">
      <c r="A13" s="12">
        <v>6</v>
      </c>
      <c r="B13" s="16" t="str">
        <f>IF(Registro!$F11=B$5,Registro!$I11,"")</f>
        <v/>
      </c>
      <c r="C13" s="20" t="str">
        <f>IF(Registro!$F11=C$5,Registro!$I11,"")</f>
        <v/>
      </c>
      <c r="D13" s="24" t="str">
        <f>IF(Registro!$F11=D$5,Registro!$I11,"")</f>
        <v/>
      </c>
      <c r="E13" s="28" t="str">
        <f>IF(Registro!$F11=E$5,Registro!$I11,"")</f>
        <v/>
      </c>
      <c r="F13" s="32" t="str">
        <f>IF(Registro!$F11=F$5,Registro!$I11,"")</f>
        <v>SB2-06  US-02  Verificar un bloqueo y sus efectos en la agenda</v>
      </c>
      <c r="G13" s="36" t="str">
        <f>IF(Registro!$F11=G$5,Registro!$I11,"")</f>
        <v/>
      </c>
      <c r="H13" s="40" t="str">
        <f>IF(Registro!$F11=H$5,Registro!$I11,"")</f>
        <v/>
      </c>
    </row>
    <row r="14" spans="1:8" ht="69" customHeight="1">
      <c r="A14" s="12">
        <v>7</v>
      </c>
      <c r="B14" s="16" t="str">
        <f>IF(Registro!$F12=B$5,Registro!$I12,"")</f>
        <v/>
      </c>
      <c r="C14" s="20" t="str">
        <f>IF(Registro!$F12=C$5,Registro!$I12,"")</f>
        <v/>
      </c>
      <c r="D14" s="24" t="str">
        <f>IF(Registro!$F12=D$5,Registro!$I12,"")</f>
        <v/>
      </c>
      <c r="E14" s="28" t="str">
        <f>IF(Registro!$F12=E$5,Registro!$I12,"")</f>
        <v/>
      </c>
      <c r="F14" s="32" t="str">
        <f>IF(Registro!$F12=F$5,Registro!$I12,"")</f>
        <v>SB2-07  US-03  Conectar inicio de sesión con /api/usuarios/login</v>
      </c>
      <c r="G14" s="36" t="str">
        <f>IF(Registro!$F12=G$5,Registro!$I12,"")</f>
        <v/>
      </c>
      <c r="H14" s="40" t="str">
        <f>IF(Registro!$F12=H$5,Registro!$I12,"")</f>
        <v/>
      </c>
    </row>
    <row r="15" spans="1:8" ht="69" customHeight="1">
      <c r="A15" s="12">
        <v>8</v>
      </c>
      <c r="B15" s="16" t="str">
        <f>IF(Registro!$F13=B$5,Registro!$I13,"")</f>
        <v/>
      </c>
      <c r="C15" s="20" t="str">
        <f>IF(Registro!$F13=C$5,Registro!$I13,"")</f>
        <v/>
      </c>
      <c r="D15" s="24" t="str">
        <f>IF(Registro!$F13=D$5,Registro!$I13,"")</f>
        <v/>
      </c>
      <c r="E15" s="28" t="str">
        <f>IF(Registro!$F13=E$5,Registro!$I13,"")</f>
        <v/>
      </c>
      <c r="F15" s="32" t="str">
        <f>IF(Registro!$F13=F$5,Registro!$I13,"")</f>
        <v>SB2-08  US-03  Proteger rutas según rol y revisar seguridad de acceso</v>
      </c>
      <c r="G15" s="36" t="str">
        <f>IF(Registro!$F13=G$5,Registro!$I13,"")</f>
        <v/>
      </c>
      <c r="H15" s="40" t="str">
        <f>IF(Registro!$F13=H$5,Registro!$I13,"")</f>
        <v/>
      </c>
    </row>
    <row r="16" spans="1:8" ht="69" customHeight="1">
      <c r="A16" s="12">
        <v>9</v>
      </c>
      <c r="B16" s="16" t="str">
        <f>IF(Registro!$F14=B$5,Registro!$I14,"")</f>
        <v/>
      </c>
      <c r="C16" s="20" t="str">
        <f>IF(Registro!$F14=C$5,Registro!$I14,"")</f>
        <v/>
      </c>
      <c r="D16" s="24" t="str">
        <f>IF(Registro!$F14=D$5,Registro!$I14,"")</f>
        <v>SB2-09  US-03  Mostrar la Tarjeta Web y progreso del alumno</v>
      </c>
      <c r="E16" s="28" t="str">
        <f>IF(Registro!$F14=E$5,Registro!$I14,"")</f>
        <v/>
      </c>
      <c r="F16" s="32" t="str">
        <f>IF(Registro!$F14=F$5,Registro!$I14,"")</f>
        <v/>
      </c>
      <c r="G16" s="36" t="str">
        <f>IF(Registro!$F14=G$5,Registro!$I14,"")</f>
        <v/>
      </c>
      <c r="H16" s="40" t="str">
        <f>IF(Registro!$F14=H$5,Registro!$I14,"")</f>
        <v/>
      </c>
    </row>
    <row r="17" spans="1:8" ht="69" customHeight="1">
      <c r="A17" s="12">
        <v>10</v>
      </c>
      <c r="B17" s="16" t="str">
        <f>IF(Registro!$F15=B$5,Registro!$I15,"")</f>
        <v/>
      </c>
      <c r="C17" s="20" t="str">
        <f>IF(Registro!$F15=C$5,Registro!$I15,"")</f>
        <v/>
      </c>
      <c r="D17" s="24" t="str">
        <f>IF(Registro!$F15=D$5,Registro!$I15,"")</f>
        <v>SB2-10  US-04  Construir agenda diaria del instructor</v>
      </c>
      <c r="E17" s="28" t="str">
        <f>IF(Registro!$F15=E$5,Registro!$I15,"")</f>
        <v/>
      </c>
      <c r="F17" s="32" t="str">
        <f>IF(Registro!$F15=F$5,Registro!$I15,"")</f>
        <v/>
      </c>
      <c r="G17" s="36" t="str">
        <f>IF(Registro!$F15=G$5,Registro!$I15,"")</f>
        <v/>
      </c>
      <c r="H17" s="40" t="str">
        <f>IF(Registro!$F15=H$5,Registro!$I15,"")</f>
        <v/>
      </c>
    </row>
    <row r="18" spans="1:8" ht="69" customHeight="1">
      <c r="A18" s="12">
        <v>11</v>
      </c>
      <c r="B18" s="16" t="str">
        <f>IF(Registro!$F16=B$5,Registro!$I16,"")</f>
        <v/>
      </c>
      <c r="C18" s="20" t="str">
        <f>IF(Registro!$F16=C$5,Registro!$I16,"")</f>
        <v/>
      </c>
      <c r="D18" s="24" t="str">
        <f>IF(Registro!$F16=D$5,Registro!$I16,"")</f>
        <v>SB2-11  US-04  Consultar clases desde backend por instructor</v>
      </c>
      <c r="E18" s="28" t="str">
        <f>IF(Registro!$F16=E$5,Registro!$I16,"")</f>
        <v/>
      </c>
      <c r="F18" s="32" t="str">
        <f>IF(Registro!$F16=F$5,Registro!$I16,"")</f>
        <v/>
      </c>
      <c r="G18" s="36" t="str">
        <f>IF(Registro!$F16=G$5,Registro!$I16,"")</f>
        <v/>
      </c>
      <c r="H18" s="40" t="str">
        <f>IF(Registro!$F16=H$5,Registro!$I16,"")</f>
        <v/>
      </c>
    </row>
    <row r="19" spans="1:8" ht="69" customHeight="1">
      <c r="A19" s="12">
        <v>12</v>
      </c>
      <c r="B19" s="16" t="str">
        <f>IF(Registro!$F17=B$5,Registro!$I17,"")</f>
        <v/>
      </c>
      <c r="C19" s="20" t="str">
        <f>IF(Registro!$F17=C$5,Registro!$I17,"")</f>
        <v/>
      </c>
      <c r="D19" s="24" t="str">
        <f>IF(Registro!$F17=D$5,Registro!$I17,"")</f>
        <v>SB2-12  US-06  Mostrar disponibilidad de vehículos por bloque</v>
      </c>
      <c r="E19" s="28" t="str">
        <f>IF(Registro!$F17=E$5,Registro!$I17,"")</f>
        <v/>
      </c>
      <c r="F19" s="32" t="str">
        <f>IF(Registro!$F17=F$5,Registro!$I17,"")</f>
        <v/>
      </c>
      <c r="G19" s="36" t="str">
        <f>IF(Registro!$F17=G$5,Registro!$I17,"")</f>
        <v/>
      </c>
      <c r="H19" s="40" t="str">
        <f>IF(Registro!$F17=H$5,Registro!$I17,"")</f>
        <v/>
      </c>
    </row>
    <row r="20" spans="1:8" ht="69" customHeight="1">
      <c r="A20" s="12">
        <v>13</v>
      </c>
      <c r="B20" s="16" t="str">
        <f>IF(Registro!$F18=B$5,Registro!$I18,"")</f>
        <v/>
      </c>
      <c r="C20" s="20" t="str">
        <f>IF(Registro!$F18=C$5,Registro!$I18,"")</f>
        <v/>
      </c>
      <c r="D20" s="24" t="str">
        <f>IF(Registro!$F18=D$5,Registro!$I18,"")</f>
        <v>SB2-13  US-06  Mostrar advertencias de bloqueos o conflictos</v>
      </c>
      <c r="E20" s="28" t="str">
        <f>IF(Registro!$F18=E$5,Registro!$I18,"")</f>
        <v/>
      </c>
      <c r="F20" s="32" t="str">
        <f>IF(Registro!$F18=F$5,Registro!$I18,"")</f>
        <v/>
      </c>
      <c r="G20" s="36" t="str">
        <f>IF(Registro!$F18=G$5,Registro!$I18,"")</f>
        <v/>
      </c>
      <c r="H20" s="40" t="str">
        <f>IF(Registro!$F18=H$5,Registro!$I18,"")</f>
        <v/>
      </c>
    </row>
    <row r="21" spans="1:8" ht="69" customHeight="1">
      <c r="A21" s="12">
        <v>14</v>
      </c>
      <c r="B21" s="16" t="str">
        <f>IF(Registro!$F19=B$5,Registro!$I19,"")</f>
        <v/>
      </c>
      <c r="C21" s="20" t="str">
        <f>IF(Registro!$F19=C$5,Registro!$I19,"")</f>
        <v/>
      </c>
      <c r="D21" s="24" t="str">
        <f>IF(Registro!$F19=D$5,Registro!$I19,"")</f>
        <v>SB2-14  US-10  Revisar catálogo, requisitos y datos de sucursales</v>
      </c>
      <c r="E21" s="28" t="str">
        <f>IF(Registro!$F19=E$5,Registro!$I19,"")</f>
        <v/>
      </c>
      <c r="F21" s="32" t="str">
        <f>IF(Registro!$F19=F$5,Registro!$I19,"")</f>
        <v/>
      </c>
      <c r="G21" s="36" t="str">
        <f>IF(Registro!$F19=G$5,Registro!$I19,"")</f>
        <v/>
      </c>
      <c r="H21" s="40" t="str">
        <f>IF(Registro!$F19=H$5,Registro!$I19,"")</f>
        <v/>
      </c>
    </row>
    <row r="22" spans="1:8" ht="69" customHeight="1">
      <c r="A22" s="12">
        <v>15</v>
      </c>
      <c r="B22" s="16" t="str">
        <f>IF(Registro!$F20=B$5,Registro!$I20,"")</f>
        <v/>
      </c>
      <c r="C22" s="20" t="str">
        <f>IF(Registro!$F20=C$5,Registro!$I20,"")</f>
        <v/>
      </c>
      <c r="D22" s="24" t="str">
        <f>IF(Registro!$F20=D$5,Registro!$I20,"")</f>
        <v/>
      </c>
      <c r="E22" s="28" t="str">
        <f>IF(Registro!$F20=E$5,Registro!$I20,"")</f>
        <v/>
      </c>
      <c r="F22" s="32" t="str">
        <f>IF(Registro!$F20=F$5,Registro!$I20,"")</f>
        <v>SB2-15  Soporte  Alinear esquema SQL y configuración de base de datos</v>
      </c>
      <c r="G22" s="36" t="str">
        <f>IF(Registro!$F20=G$5,Registro!$I20,"")</f>
        <v/>
      </c>
      <c r="H22" s="40" t="str">
        <f>IF(Registro!$F20=H$5,Registro!$I20,"")</f>
        <v/>
      </c>
    </row>
    <row r="23" spans="1:8" ht="69" customHeight="1">
      <c r="A23" s="12">
        <v>16</v>
      </c>
      <c r="B23" s="16" t="str">
        <f>IF(Registro!$F21=B$5,Registro!$I21,"")</f>
        <v/>
      </c>
      <c r="C23" s="20" t="str">
        <f>IF(Registro!$F21=C$5,Registro!$I21,"")</f>
        <v/>
      </c>
      <c r="D23" s="24" t="str">
        <f>IF(Registro!$F21=D$5,Registro!$I21,"")</f>
        <v>SB2-16  QA  Preparar y ejecutar pruebas del alcance confirmado</v>
      </c>
      <c r="E23" s="28" t="str">
        <f>IF(Registro!$F21=E$5,Registro!$I21,"")</f>
        <v/>
      </c>
      <c r="F23" s="32" t="str">
        <f>IF(Registro!$F21=F$5,Registro!$I21,"")</f>
        <v/>
      </c>
      <c r="G23" s="36" t="str">
        <f>IF(Registro!$F21=G$5,Registro!$I21,"")</f>
        <v/>
      </c>
      <c r="H23" s="40" t="str">
        <f>IF(Registro!$F21=H$5,Registro!$I21,"")</f>
        <v/>
      </c>
    </row>
    <row r="24" spans="1:8" ht="69" customHeight="1">
      <c r="A24" s="12">
        <v>17</v>
      </c>
      <c r="B24" s="16" t="str">
        <f>IF(Registro!$F22=B$5,Registro!$I22,"")</f>
        <v/>
      </c>
      <c r="C24" s="20" t="str">
        <f>IF(Registro!$F22=C$5,Registro!$I22,"")</f>
        <v>SB2-17  QA  Registrar defectos e informar retests</v>
      </c>
      <c r="D24" s="24" t="str">
        <f>IF(Registro!$F22=D$5,Registro!$I22,"")</f>
        <v/>
      </c>
      <c r="E24" s="28" t="str">
        <f>IF(Registro!$F22=E$5,Registro!$I22,"")</f>
        <v/>
      </c>
      <c r="F24" s="32" t="str">
        <f>IF(Registro!$F22=F$5,Registro!$I22,"")</f>
        <v/>
      </c>
      <c r="G24" s="36" t="str">
        <f>IF(Registro!$F22=G$5,Registro!$I22,"")</f>
        <v/>
      </c>
      <c r="H24" s="40" t="str">
        <f>IF(Registro!$F22=H$5,Registro!$I22,"")</f>
        <v/>
      </c>
    </row>
    <row r="25" spans="1:8" ht="69" customHeight="1">
      <c r="A25" s="13">
        <v>18</v>
      </c>
      <c r="B25" s="17" t="str">
        <f>IF(Registro!$F23=B$5,Registro!$I23,"")</f>
        <v/>
      </c>
      <c r="C25" s="21" t="str">
        <f>IF(Registro!$F23=C$5,Registro!$I23,"")</f>
        <v>SB2-18  Gestión  Actualizar estados del tablero y enlaces de evidencia</v>
      </c>
      <c r="D25" s="25" t="str">
        <f>IF(Registro!$F23=D$5,Registro!$I23,"")</f>
        <v/>
      </c>
      <c r="E25" s="29" t="str">
        <f>IF(Registro!$F23=E$5,Registro!$I23,"")</f>
        <v/>
      </c>
      <c r="F25" s="33" t="str">
        <f>IF(Registro!$F23=F$5,Registro!$I23,"")</f>
        <v/>
      </c>
      <c r="G25" s="37" t="str">
        <f>IF(Registro!$F23=G$5,Registro!$I23,"")</f>
        <v/>
      </c>
      <c r="H25" s="41" t="str">
        <f>IF(Registro!$F23=H$5,Registro!$I23,"")</f>
        <v/>
      </c>
    </row>
    <row r="27" spans="1:8" ht="15">
      <c r="A27" s="8"/>
    </row>
    <row r="28" spans="1:8">
      <c r="A28" s="9"/>
    </row>
    <row r="29" spans="1:8">
      <c r="A2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59EB5"/>
  </sheetPr>
  <dimension ref="A2:K29"/>
  <sheetViews>
    <sheetView showGridLines="0" workbookViewId="0">
      <pane ySplit="5" topLeftCell="A20" activePane="bottomLeft" state="frozen"/>
      <selection pane="bottomLeft" activeCell="A3" sqref="A3"/>
    </sheetView>
  </sheetViews>
  <sheetFormatPr baseColWidth="10" defaultColWidth="9" defaultRowHeight="14.25"/>
  <cols>
    <col min="1" max="1" width="15" customWidth="1"/>
    <col min="2" max="2" width="12" customWidth="1"/>
    <col min="3" max="3" width="58" customWidth="1"/>
    <col min="4" max="4" width="18" customWidth="1"/>
    <col min="5" max="5" width="20" customWidth="1"/>
    <col min="6" max="6" width="19" customWidth="1"/>
    <col min="7" max="7" width="17" customWidth="1"/>
    <col min="8" max="8" width="25" customWidth="1"/>
    <col min="9" max="9" width="70" customWidth="1"/>
    <col min="10" max="10" width="62" customWidth="1"/>
    <col min="11" max="11" width="66" customWidth="1"/>
  </cols>
  <sheetData>
    <row r="2" spans="1:11" ht="20.25">
      <c r="A2" s="1" t="s">
        <v>10</v>
      </c>
    </row>
    <row r="3" spans="1:11">
      <c r="A3" s="2"/>
    </row>
    <row r="5" spans="1:11" ht="33.950000000000003" customHeight="1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20</v>
      </c>
      <c r="K5" s="3" t="s">
        <v>21</v>
      </c>
    </row>
    <row r="6" spans="1:11" ht="39" customHeight="1">
      <c r="A6" s="4" t="s">
        <v>22</v>
      </c>
      <c r="B6" s="4" t="s">
        <v>23</v>
      </c>
      <c r="C6" s="5" t="s">
        <v>24</v>
      </c>
      <c r="D6" s="4" t="s">
        <v>25</v>
      </c>
      <c r="E6" s="6"/>
      <c r="F6" s="6" t="s">
        <v>6</v>
      </c>
      <c r="G6" s="7">
        <f>COUNTIFS($F$6:F6,F6)</f>
        <v>1</v>
      </c>
      <c r="H6" s="7" t="str">
        <f t="shared" ref="H6:H23" si="0">F6&amp;"|"&amp;G6</f>
        <v>Completado|1</v>
      </c>
      <c r="I6" s="7" t="str">
        <f t="shared" ref="I6:I23" si="1">A6&amp;"  "&amp;B6&amp;"  "&amp;C6</f>
        <v>SB2-01  US-01  Conectar la pantalla administrativa de vehículos con la API</v>
      </c>
      <c r="J6" s="5" t="s">
        <v>26</v>
      </c>
      <c r="K6" s="5" t="s">
        <v>27</v>
      </c>
    </row>
    <row r="7" spans="1:11" ht="39" customHeight="1">
      <c r="A7" s="4" t="s">
        <v>28</v>
      </c>
      <c r="B7" s="4" t="s">
        <v>23</v>
      </c>
      <c r="C7" s="5" t="s">
        <v>29</v>
      </c>
      <c r="D7" s="4" t="s">
        <v>30</v>
      </c>
      <c r="E7" s="6"/>
      <c r="F7" s="6" t="s">
        <v>4</v>
      </c>
      <c r="G7" s="7">
        <f>COUNTIFS($F$6:F7,F7)</f>
        <v>1</v>
      </c>
      <c r="H7" s="7" t="str">
        <f t="shared" si="0"/>
        <v>En curso|1</v>
      </c>
      <c r="I7" s="7" t="str">
        <f t="shared" si="1"/>
        <v>SB2-02  US-01  Validar asignación de recursos a Macul o Peñalolén</v>
      </c>
      <c r="J7" s="5" t="s">
        <v>31</v>
      </c>
      <c r="K7" s="5" t="s">
        <v>32</v>
      </c>
    </row>
    <row r="8" spans="1:11" ht="39" customHeight="1">
      <c r="A8" s="4" t="s">
        <v>33</v>
      </c>
      <c r="B8" s="4" t="s">
        <v>23</v>
      </c>
      <c r="C8" s="5" t="s">
        <v>34</v>
      </c>
      <c r="D8" s="4" t="s">
        <v>35</v>
      </c>
      <c r="E8" s="6"/>
      <c r="F8" s="6" t="s">
        <v>4</v>
      </c>
      <c r="G8" s="7">
        <f>COUNTIFS($F$6:F8,F8)</f>
        <v>2</v>
      </c>
      <c r="H8" s="7" t="str">
        <f t="shared" si="0"/>
        <v>En curso|2</v>
      </c>
      <c r="I8" s="7" t="str">
        <f t="shared" si="1"/>
        <v>SB2-03  US-01  Integrar gestión de instructores con el módulo de flota</v>
      </c>
      <c r="J8" s="5" t="s">
        <v>36</v>
      </c>
      <c r="K8" s="5" t="s">
        <v>37</v>
      </c>
    </row>
    <row r="9" spans="1:11" ht="39" customHeight="1">
      <c r="A9" s="4" t="s">
        <v>38</v>
      </c>
      <c r="B9" s="4" t="s">
        <v>39</v>
      </c>
      <c r="C9" s="5" t="s">
        <v>40</v>
      </c>
      <c r="D9" s="4" t="s">
        <v>25</v>
      </c>
      <c r="E9" s="6"/>
      <c r="F9" s="6" t="s">
        <v>4</v>
      </c>
      <c r="G9" s="7">
        <f>COUNTIFS($F$6:F9,F9)</f>
        <v>3</v>
      </c>
      <c r="H9" s="7" t="str">
        <f t="shared" si="0"/>
        <v>En curso|3</v>
      </c>
      <c r="I9" s="7" t="str">
        <f t="shared" si="1"/>
        <v>SB2-04  US-02  Implementar formulario administrativo de bloqueos</v>
      </c>
      <c r="J9" s="5" t="s">
        <v>41</v>
      </c>
      <c r="K9" s="5" t="s">
        <v>42</v>
      </c>
    </row>
    <row r="10" spans="1:11" ht="39" customHeight="1">
      <c r="A10" s="4" t="s">
        <v>43</v>
      </c>
      <c r="B10" s="4" t="s">
        <v>39</v>
      </c>
      <c r="C10" s="5" t="s">
        <v>44</v>
      </c>
      <c r="D10" s="4" t="s">
        <v>45</v>
      </c>
      <c r="E10" s="6"/>
      <c r="F10" s="6" t="s">
        <v>6</v>
      </c>
      <c r="G10" s="7">
        <f>COUNTIFS($F$6:F10,F10)</f>
        <v>2</v>
      </c>
      <c r="H10" s="7" t="str">
        <f t="shared" si="0"/>
        <v>Completado|2</v>
      </c>
      <c r="I10" s="7" t="str">
        <f t="shared" si="1"/>
        <v>SB2-05  US-02  Aplicar bloqueos en disponibilidad y agendamiento</v>
      </c>
      <c r="J10" s="5" t="s">
        <v>46</v>
      </c>
      <c r="K10" s="5" t="s">
        <v>47</v>
      </c>
    </row>
    <row r="11" spans="1:11" ht="39" customHeight="1">
      <c r="A11" s="4" t="s">
        <v>48</v>
      </c>
      <c r="B11" s="4" t="s">
        <v>39</v>
      </c>
      <c r="C11" s="5" t="s">
        <v>49</v>
      </c>
      <c r="D11" s="4" t="s">
        <v>50</v>
      </c>
      <c r="E11" s="6"/>
      <c r="F11" s="6" t="s">
        <v>6</v>
      </c>
      <c r="G11" s="7">
        <f>COUNTIFS($F$6:F11,F11)</f>
        <v>3</v>
      </c>
      <c r="H11" s="7" t="str">
        <f t="shared" si="0"/>
        <v>Completado|3</v>
      </c>
      <c r="I11" s="7" t="str">
        <f t="shared" si="1"/>
        <v>SB2-06  US-02  Verificar un bloqueo y sus efectos en la agenda</v>
      </c>
      <c r="J11" s="5" t="s">
        <v>51</v>
      </c>
      <c r="K11" s="5" t="s">
        <v>52</v>
      </c>
    </row>
    <row r="12" spans="1:11" ht="39" customHeight="1">
      <c r="A12" s="4" t="s">
        <v>53</v>
      </c>
      <c r="B12" s="4" t="s">
        <v>54</v>
      </c>
      <c r="C12" s="5" t="s">
        <v>55</v>
      </c>
      <c r="D12" s="4" t="s">
        <v>25</v>
      </c>
      <c r="E12" s="6"/>
      <c r="F12" s="6" t="s">
        <v>6</v>
      </c>
      <c r="G12" s="7">
        <f>COUNTIFS($F$6:F12,F12)</f>
        <v>4</v>
      </c>
      <c r="H12" s="7" t="str">
        <f t="shared" si="0"/>
        <v>Completado|4</v>
      </c>
      <c r="I12" s="7" t="str">
        <f t="shared" si="1"/>
        <v>SB2-07  US-03  Conectar inicio de sesión con /api/usuarios/login</v>
      </c>
      <c r="J12" s="5" t="s">
        <v>56</v>
      </c>
      <c r="K12" s="5" t="s">
        <v>57</v>
      </c>
    </row>
    <row r="13" spans="1:11" ht="39" customHeight="1">
      <c r="A13" s="4" t="s">
        <v>58</v>
      </c>
      <c r="B13" s="4" t="s">
        <v>54</v>
      </c>
      <c r="C13" s="5" t="s">
        <v>59</v>
      </c>
      <c r="D13" s="4" t="s">
        <v>45</v>
      </c>
      <c r="E13" s="6"/>
      <c r="F13" s="6" t="s">
        <v>6</v>
      </c>
      <c r="G13" s="7">
        <f>COUNTIFS($F$6:F13,F13)</f>
        <v>5</v>
      </c>
      <c r="H13" s="7" t="str">
        <f t="shared" si="0"/>
        <v>Completado|5</v>
      </c>
      <c r="I13" s="7" t="str">
        <f t="shared" si="1"/>
        <v>SB2-08  US-03  Proteger rutas según rol y revisar seguridad de acceso</v>
      </c>
      <c r="J13" s="5" t="s">
        <v>60</v>
      </c>
      <c r="K13" s="5" t="s">
        <v>61</v>
      </c>
    </row>
    <row r="14" spans="1:11" ht="39" customHeight="1">
      <c r="A14" s="4" t="s">
        <v>62</v>
      </c>
      <c r="B14" s="4" t="s">
        <v>54</v>
      </c>
      <c r="C14" s="5" t="s">
        <v>63</v>
      </c>
      <c r="D14" s="4" t="s">
        <v>35</v>
      </c>
      <c r="E14" s="6"/>
      <c r="F14" s="6" t="s">
        <v>4</v>
      </c>
      <c r="G14" s="7">
        <f>COUNTIFS($F$6:F14,F14)</f>
        <v>4</v>
      </c>
      <c r="H14" s="7" t="str">
        <f t="shared" si="0"/>
        <v>En curso|4</v>
      </c>
      <c r="I14" s="7" t="str">
        <f t="shared" si="1"/>
        <v>SB2-09  US-03  Mostrar la Tarjeta Web y progreso del alumno</v>
      </c>
      <c r="J14" s="5" t="s">
        <v>64</v>
      </c>
      <c r="K14" s="5" t="s">
        <v>65</v>
      </c>
    </row>
    <row r="15" spans="1:11" ht="39" customHeight="1">
      <c r="A15" s="4" t="s">
        <v>66</v>
      </c>
      <c r="B15" s="4" t="s">
        <v>67</v>
      </c>
      <c r="C15" s="5" t="s">
        <v>68</v>
      </c>
      <c r="D15" s="4" t="s">
        <v>25</v>
      </c>
      <c r="E15" s="6"/>
      <c r="F15" s="6" t="s">
        <v>4</v>
      </c>
      <c r="G15" s="7">
        <f>COUNTIFS($F$6:F15,F15)</f>
        <v>5</v>
      </c>
      <c r="H15" s="7" t="str">
        <f t="shared" si="0"/>
        <v>En curso|5</v>
      </c>
      <c r="I15" s="7" t="str">
        <f t="shared" si="1"/>
        <v>SB2-10  US-04  Construir agenda diaria del instructor</v>
      </c>
      <c r="J15" s="5" t="s">
        <v>69</v>
      </c>
      <c r="K15" s="5" t="s">
        <v>70</v>
      </c>
    </row>
    <row r="16" spans="1:11" ht="39" customHeight="1">
      <c r="A16" s="4" t="s">
        <v>71</v>
      </c>
      <c r="B16" s="4" t="s">
        <v>67</v>
      </c>
      <c r="C16" s="5" t="s">
        <v>72</v>
      </c>
      <c r="D16" s="4" t="s">
        <v>35</v>
      </c>
      <c r="E16" s="6"/>
      <c r="F16" s="6" t="s">
        <v>4</v>
      </c>
      <c r="G16" s="7">
        <f>COUNTIFS($F$6:F16,F16)</f>
        <v>6</v>
      </c>
      <c r="H16" s="7" t="str">
        <f t="shared" si="0"/>
        <v>En curso|6</v>
      </c>
      <c r="I16" s="7" t="str">
        <f t="shared" si="1"/>
        <v>SB2-11  US-04  Consultar clases desde backend por instructor</v>
      </c>
      <c r="J16" s="5" t="s">
        <v>73</v>
      </c>
      <c r="K16" s="5" t="s">
        <v>74</v>
      </c>
    </row>
    <row r="17" spans="1:11" ht="39" customHeight="1">
      <c r="A17" s="4" t="s">
        <v>75</v>
      </c>
      <c r="B17" s="4" t="s">
        <v>76</v>
      </c>
      <c r="C17" s="5" t="s">
        <v>77</v>
      </c>
      <c r="D17" s="4" t="s">
        <v>25</v>
      </c>
      <c r="E17" s="6"/>
      <c r="F17" s="6" t="s">
        <v>4</v>
      </c>
      <c r="G17" s="7">
        <f>COUNTIFS($F$6:F17,F17)</f>
        <v>7</v>
      </c>
      <c r="H17" s="7" t="str">
        <f t="shared" si="0"/>
        <v>En curso|7</v>
      </c>
      <c r="I17" s="7" t="str">
        <f t="shared" si="1"/>
        <v>SB2-12  US-06  Mostrar disponibilidad de vehículos por bloque</v>
      </c>
      <c r="J17" s="5" t="s">
        <v>78</v>
      </c>
      <c r="K17" s="5" t="s">
        <v>79</v>
      </c>
    </row>
    <row r="18" spans="1:11" ht="39" customHeight="1">
      <c r="A18" s="4" t="s">
        <v>80</v>
      </c>
      <c r="B18" s="4" t="s">
        <v>76</v>
      </c>
      <c r="C18" s="5" t="s">
        <v>81</v>
      </c>
      <c r="D18" s="4" t="s">
        <v>82</v>
      </c>
      <c r="E18" s="6"/>
      <c r="F18" s="6" t="s">
        <v>4</v>
      </c>
      <c r="G18" s="7">
        <f>COUNTIFS($F$6:F18,F18)</f>
        <v>8</v>
      </c>
      <c r="H18" s="7" t="str">
        <f t="shared" si="0"/>
        <v>En curso|8</v>
      </c>
      <c r="I18" s="7" t="str">
        <f t="shared" si="1"/>
        <v>SB2-13  US-06  Mostrar advertencias de bloqueos o conflictos</v>
      </c>
      <c r="J18" s="5" t="s">
        <v>83</v>
      </c>
      <c r="K18" s="5" t="s">
        <v>84</v>
      </c>
    </row>
    <row r="19" spans="1:11" ht="39" customHeight="1">
      <c r="A19" s="4" t="s">
        <v>85</v>
      </c>
      <c r="B19" s="4" t="s">
        <v>86</v>
      </c>
      <c r="C19" s="5" t="s">
        <v>87</v>
      </c>
      <c r="D19" s="4" t="s">
        <v>82</v>
      </c>
      <c r="E19" s="6"/>
      <c r="F19" s="6" t="s">
        <v>4</v>
      </c>
      <c r="G19" s="7">
        <f>COUNTIFS($F$6:F19,F19)</f>
        <v>9</v>
      </c>
      <c r="H19" s="7" t="str">
        <f t="shared" si="0"/>
        <v>En curso|9</v>
      </c>
      <c r="I19" s="7" t="str">
        <f t="shared" si="1"/>
        <v>SB2-14  US-10  Revisar catálogo, requisitos y datos de sucursales</v>
      </c>
      <c r="J19" s="5" t="s">
        <v>88</v>
      </c>
      <c r="K19" s="5" t="s">
        <v>89</v>
      </c>
    </row>
    <row r="20" spans="1:11" ht="39" customHeight="1">
      <c r="A20" s="4" t="s">
        <v>90</v>
      </c>
      <c r="B20" s="4" t="s">
        <v>91</v>
      </c>
      <c r="C20" s="5" t="s">
        <v>92</v>
      </c>
      <c r="D20" s="4" t="s">
        <v>93</v>
      </c>
      <c r="E20" s="6"/>
      <c r="F20" s="6" t="s">
        <v>6</v>
      </c>
      <c r="G20" s="7">
        <f>COUNTIFS($F$6:F20,F20)</f>
        <v>6</v>
      </c>
      <c r="H20" s="7" t="str">
        <f t="shared" si="0"/>
        <v>Completado|6</v>
      </c>
      <c r="I20" s="7" t="str">
        <f t="shared" si="1"/>
        <v>SB2-15  Soporte  Alinear esquema SQL y configuración de base de datos</v>
      </c>
      <c r="J20" s="5" t="s">
        <v>94</v>
      </c>
      <c r="K20" s="5" t="s">
        <v>95</v>
      </c>
    </row>
    <row r="21" spans="1:11" ht="39" customHeight="1">
      <c r="A21" s="4" t="s">
        <v>96</v>
      </c>
      <c r="B21" s="4" t="s">
        <v>50</v>
      </c>
      <c r="C21" s="5" t="s">
        <v>97</v>
      </c>
      <c r="D21" s="4" t="s">
        <v>50</v>
      </c>
      <c r="E21" s="6"/>
      <c r="F21" s="6" t="s">
        <v>4</v>
      </c>
      <c r="G21" s="7">
        <f>COUNTIFS($F$6:F21,F21)</f>
        <v>10</v>
      </c>
      <c r="H21" s="7" t="str">
        <f t="shared" si="0"/>
        <v>En curso|10</v>
      </c>
      <c r="I21" s="7" t="str">
        <f t="shared" si="1"/>
        <v>SB2-16  QA  Preparar y ejecutar pruebas del alcance confirmado</v>
      </c>
      <c r="J21" s="5" t="s">
        <v>98</v>
      </c>
      <c r="K21" s="5" t="s">
        <v>99</v>
      </c>
    </row>
    <row r="22" spans="1:11" ht="39" customHeight="1">
      <c r="A22" s="4" t="s">
        <v>100</v>
      </c>
      <c r="B22" s="4" t="s">
        <v>50</v>
      </c>
      <c r="C22" s="5" t="s">
        <v>101</v>
      </c>
      <c r="D22" s="4" t="s">
        <v>50</v>
      </c>
      <c r="E22" s="6"/>
      <c r="F22" s="6" t="s">
        <v>3</v>
      </c>
      <c r="G22" s="7">
        <f>COUNTIFS($F$6:F22,F22)</f>
        <v>1</v>
      </c>
      <c r="H22" s="7" t="str">
        <f t="shared" si="0"/>
        <v>Por hacer|1</v>
      </c>
      <c r="I22" s="7" t="str">
        <f t="shared" si="1"/>
        <v>SB2-17  QA  Registrar defectos e informar retests</v>
      </c>
      <c r="J22" s="5" t="s">
        <v>102</v>
      </c>
      <c r="K22" s="5" t="s">
        <v>103</v>
      </c>
    </row>
    <row r="23" spans="1:11" ht="39" customHeight="1">
      <c r="A23" s="4" t="s">
        <v>104</v>
      </c>
      <c r="B23" s="4" t="s">
        <v>105</v>
      </c>
      <c r="C23" s="5" t="s">
        <v>106</v>
      </c>
      <c r="D23" s="4" t="s">
        <v>107</v>
      </c>
      <c r="E23" s="6"/>
      <c r="F23" s="6" t="s">
        <v>3</v>
      </c>
      <c r="G23" s="7">
        <f>COUNTIFS($F$6:F23,F23)</f>
        <v>2</v>
      </c>
      <c r="H23" s="7" t="str">
        <f t="shared" si="0"/>
        <v>Por hacer|2</v>
      </c>
      <c r="I23" s="7" t="str">
        <f t="shared" si="1"/>
        <v>SB2-18  Gestión  Actualizar estados del tablero y enlaces de evidencia</v>
      </c>
      <c r="J23" s="5" t="s">
        <v>108</v>
      </c>
      <c r="K23" s="5" t="s">
        <v>109</v>
      </c>
    </row>
    <row r="25" spans="1:11" ht="15">
      <c r="A25" s="8"/>
    </row>
    <row r="26" spans="1:11">
      <c r="A26" s="9"/>
    </row>
    <row r="27" spans="1:11">
      <c r="A27" s="9"/>
    </row>
    <row r="28" spans="1:11">
      <c r="A28" s="9"/>
    </row>
    <row r="29" spans="1:11">
      <c r="A29" s="9"/>
    </row>
  </sheetData>
  <conditionalFormatting sqref="F6:F23">
    <cfRule type="containsText" dxfId="1" priority="1" operator="containsText" text="Bloqueado"/>
    <cfRule type="containsText" dxfId="0" priority="2" operator="containsText" text="Finalizado"/>
  </conditionalFormatting>
  <dataValidations count="1">
    <dataValidation type="list" sqref="F6:F23" xr:uid="{00000000-0002-0000-0100-000000000000}">
      <formula1>"Por confirmar,Por hacer,En curso,En revisión,Completado,Finalizado,Bloqueado"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Scrumboard</vt:lpstr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 TaKen</cp:lastModifiedBy>
  <dcterms:modified xsi:type="dcterms:W3CDTF">2026-10-19T12:46:11Z</dcterms:modified>
</cp:coreProperties>
</file>